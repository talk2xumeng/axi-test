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rite测试用例(2x256B)" sheetId="1" state="visible" r:id="rId3"/>
    <sheet name="写响应(2xwrRsp)" sheetId="2" state="visible" r:id="rId4"/>
    <sheet name="读请求(2xread)" sheetId="3" state="visible" r:id="rId5"/>
    <sheet name="读响应(2x256B)" sheetId="4" state="visible" r:id="rId6"/>
    <sheet name="P2-write最大包(8x64B)" sheetId="5" state="visible" r:id="rId7"/>
    <sheet name="P2-读请求(4xread)" sheetId="6" state="visible" r:id="rId8"/>
    <sheet name="P2-读响应最大包(8x64B)" sheetId="7" state="visible" r:id="rId9"/>
    <sheet name="字段确认状态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<sst xmlns="http://schemas.openxmlformats.org/spreadsheetml/2006/main" count="999" uniqueCount="304">
  <si>
    <r>
      <rPr>
        <b val="true"/>
        <sz val="14"/>
        <rFont val="Times New Roman"/>
        <family val="0"/>
        <charset val="1"/>
      </rPr>
      <t xml:space="preserve">VC0 </t>
    </r>
    <r>
      <rPr>
        <b val="true"/>
        <sz val="14"/>
        <rFont val="Noto Sans CJK SC"/>
        <family val="2"/>
      </rPr>
      <t xml:space="preserve">写请求包（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Times New Roman"/>
        <family val="0"/>
        <charset val="1"/>
      </rPr>
      <t xml:space="preserve">802.3 + VLAN tag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Length </t>
    </r>
    <r>
      <rPr>
        <b val="true"/>
        <sz val="14"/>
        <rFont val="Noto Sans CJK SC"/>
        <family val="2"/>
      </rPr>
      <t xml:space="preserve">字段）—— </t>
    </r>
    <r>
      <rPr>
        <b val="true"/>
        <sz val="14"/>
        <rFont val="Times New Roman"/>
        <family val="0"/>
        <charset val="1"/>
      </rPr>
      <t xml:space="preserve">writefull × 2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awlen=3</t>
    </r>
    <r>
      <rPr>
        <b val="true"/>
        <sz val="14"/>
        <rFont val="Noto Sans CJK SC"/>
        <family val="2"/>
      </rPr>
      <t xml:space="preserve">，数据 </t>
    </r>
    <r>
      <rPr>
        <b val="true"/>
        <sz val="14"/>
        <rFont val="Times New Roman"/>
        <family val="0"/>
        <charset val="1"/>
      </rPr>
      <t xml:space="preserve">8 </t>
    </r>
    <r>
      <rPr>
        <b val="true"/>
        <sz val="14"/>
        <rFont val="Noto Sans CJK SC"/>
        <family val="2"/>
      </rPr>
      <t xml:space="preserve">拍 </t>
    </r>
    <r>
      <rPr>
        <b val="true"/>
        <sz val="14"/>
        <rFont val="Times New Roman"/>
        <family val="0"/>
        <charset val="1"/>
      </rPr>
      <t xml:space="preserve">= 512B</t>
    </r>
  </si>
  <si>
    <t xml:space="preserve">确定</t>
  </si>
  <si>
    <r>
      <rPr>
        <sz val="10"/>
        <rFont val="Noto Sans CJK SC"/>
        <family val="2"/>
      </rPr>
      <t xml:space="preserve">含义和取值都已确定（字段原有配色沿用原表：黄</t>
    </r>
    <r>
      <rPr>
        <sz val="10"/>
        <rFont val="Times New Roman"/>
        <family val="0"/>
        <charset val="1"/>
      </rPr>
      <t xml:space="preserve">=frame_type</t>
    </r>
    <r>
      <rPr>
        <sz val="10"/>
        <rFont val="Noto Sans CJK SC"/>
        <family val="2"/>
      </rPr>
      <t xml:space="preserve">，蓝</t>
    </r>
    <r>
      <rPr>
        <sz val="10"/>
        <rFont val="Times New Roman"/>
        <family val="0"/>
        <charset val="1"/>
      </rPr>
      <t xml:space="preserve">=ID</t>
    </r>
    <r>
      <rPr>
        <sz val="10"/>
        <rFont val="Noto Sans CJK SC"/>
        <family val="2"/>
      </rPr>
      <t xml:space="preserve">，浅黄</t>
    </r>
    <r>
      <rPr>
        <sz val="10"/>
        <rFont val="Times New Roman"/>
        <family val="0"/>
        <charset val="1"/>
      </rPr>
      <t xml:space="preserve">=user</t>
    </r>
    <r>
      <rPr>
        <sz val="10"/>
        <rFont val="Noto Sans CJK SC"/>
        <family val="2"/>
      </rPr>
      <t xml:space="preserve">，橙</t>
    </r>
    <r>
      <rPr>
        <sz val="10"/>
        <rFont val="Times New Roman"/>
        <family val="0"/>
        <charset val="1"/>
      </rPr>
      <t xml:space="preserve">=addr</t>
    </r>
    <r>
      <rPr>
        <sz val="10"/>
        <rFont val="Noto Sans CJK SC"/>
        <family val="2"/>
      </rPr>
      <t xml:space="preserve">，绿</t>
    </r>
    <r>
      <rPr>
        <sz val="10"/>
        <rFont val="Times New Roman"/>
        <family val="0"/>
        <charset val="1"/>
      </rPr>
      <t xml:space="preserve">=data</t>
    </r>
    <r>
      <rPr>
        <sz val="10"/>
        <rFont val="Noto Sans CJK SC"/>
        <family val="2"/>
      </rPr>
      <t xml:space="preserve">）</t>
    </r>
  </si>
  <si>
    <t xml:space="preserve">待确认</t>
  </si>
  <si>
    <r>
      <rPr>
        <sz val="10"/>
        <rFont val="Noto Sans CJK SC"/>
        <family val="2"/>
      </rPr>
      <t xml:space="preserve">含义清楚但取值</t>
    </r>
    <r>
      <rPr>
        <sz val="10"/>
        <rFont val="Times New Roman"/>
        <family val="0"/>
        <charset val="1"/>
      </rPr>
      <t xml:space="preserve">/</t>
    </r>
    <r>
      <rPr>
        <sz val="10"/>
        <rFont val="Noto Sans CJK SC"/>
        <family val="2"/>
      </rPr>
      <t xml:space="preserve">口径待确认；单元格内为当前建议值</t>
    </r>
  </si>
  <si>
    <t xml:space="preserve">寄存器值未知</t>
  </si>
  <si>
    <r>
      <rPr>
        <sz val="10"/>
        <rFont val="Noto Sans CJK SC"/>
        <family val="2"/>
      </rPr>
      <t xml:space="preserve">原表说明</t>
    </r>
    <r>
      <rPr>
        <sz val="10"/>
        <rFont val="Times New Roman"/>
        <family val="0"/>
        <charset val="1"/>
      </rPr>
      <t xml:space="preserve">"</t>
    </r>
    <r>
      <rPr>
        <sz val="10"/>
        <rFont val="Noto Sans CJK SC"/>
        <family val="2"/>
      </rPr>
      <t xml:space="preserve">用寄存器初始化</t>
    </r>
    <r>
      <rPr>
        <sz val="10"/>
        <rFont val="Times New Roman"/>
        <family val="0"/>
        <charset val="1"/>
      </rPr>
      <t xml:space="preserve">/</t>
    </r>
    <r>
      <rPr>
        <sz val="10"/>
        <rFont val="Noto Sans CJK SC"/>
        <family val="2"/>
      </rPr>
      <t xml:space="preserve">用不上</t>
    </r>
    <r>
      <rPr>
        <sz val="10"/>
        <rFont val="Times New Roman"/>
        <family val="0"/>
        <charset val="1"/>
      </rPr>
      <t xml:space="preserve">"</t>
    </r>
    <r>
      <rPr>
        <sz val="10"/>
        <rFont val="Noto Sans CJK SC"/>
        <family val="2"/>
      </rPr>
      <t xml:space="preserve">，具体值未知；软件测试暂填 </t>
    </r>
    <r>
      <rPr>
        <sz val="10"/>
        <rFont val="Times New Roman"/>
        <family val="0"/>
        <charset val="1"/>
      </rPr>
      <t xml:space="preserve">0</t>
    </r>
  </si>
  <si>
    <r>
      <rPr>
        <i val="true"/>
        <sz val="10"/>
        <rFont val="Noto Sans CJK SC"/>
        <family val="2"/>
      </rPr>
      <t xml:space="preserve">字节序约定：每行 </t>
    </r>
    <r>
      <rPr>
        <i val="true"/>
        <sz val="10"/>
        <rFont val="Times New Roman"/>
        <family val="0"/>
        <charset val="1"/>
      </rPr>
      <t xml:space="preserve">32 bit</t>
    </r>
    <r>
      <rPr>
        <i val="true"/>
        <sz val="10"/>
        <rFont val="Noto Sans CJK SC"/>
        <family val="2"/>
      </rPr>
      <t xml:space="preserve">，</t>
    </r>
    <r>
      <rPr>
        <i val="true"/>
        <sz val="10"/>
        <rFont val="Times New Roman"/>
        <family val="0"/>
        <charset val="1"/>
      </rPr>
      <t xml:space="preserve">bit31 </t>
    </r>
    <r>
      <rPr>
        <i val="true"/>
        <sz val="10"/>
        <rFont val="Noto Sans CJK SC"/>
        <family val="2"/>
      </rPr>
      <t xml:space="preserve">为该行第一个上线字节的最高位（大端）。字节偏移从 </t>
    </r>
    <r>
      <rPr>
        <i val="true"/>
        <sz val="10"/>
        <rFont val="Times New Roman"/>
        <family val="0"/>
        <charset val="1"/>
      </rPr>
      <t xml:space="preserve">DMAC </t>
    </r>
    <r>
      <rPr>
        <i val="true"/>
        <sz val="10"/>
        <rFont val="Noto Sans CJK SC"/>
        <family val="2"/>
      </rPr>
      <t xml:space="preserve">第一个字节 </t>
    </r>
    <r>
      <rPr>
        <i val="true"/>
        <sz val="10"/>
        <rFont val="Times New Roman"/>
        <family val="0"/>
        <charset val="1"/>
      </rPr>
      <t xml:space="preserve">= 0 </t>
    </r>
    <r>
      <rPr>
        <i val="true"/>
        <sz val="10"/>
        <rFont val="Noto Sans CJK SC"/>
        <family val="2"/>
      </rPr>
      <t xml:space="preserve">起算。帧头 </t>
    </r>
    <r>
      <rPr>
        <i val="true"/>
        <sz val="10"/>
        <rFont val="Times New Roman"/>
        <family val="0"/>
        <charset val="1"/>
      </rPr>
      <t xml:space="preserve">20B</t>
    </r>
    <r>
      <rPr>
        <i val="true"/>
        <sz val="10"/>
        <rFont val="Noto Sans CJK SC"/>
        <family val="2"/>
      </rPr>
      <t xml:space="preserve">，</t>
    </r>
    <r>
      <rPr>
        <i val="true"/>
        <sz val="10"/>
        <rFont val="Times New Roman"/>
        <family val="0"/>
        <charset val="1"/>
      </rPr>
      <t xml:space="preserve">payload </t>
    </r>
    <r>
      <rPr>
        <i val="true"/>
        <sz val="10"/>
        <rFont val="Noto Sans CJK SC"/>
        <family val="2"/>
      </rPr>
      <t xml:space="preserve">从偏移 </t>
    </r>
    <r>
      <rPr>
        <i val="true"/>
        <sz val="10"/>
        <rFont val="Times New Roman"/>
        <family val="0"/>
        <charset val="1"/>
      </rPr>
      <t xml:space="preserve">20 </t>
    </r>
    <r>
      <rPr>
        <i val="true"/>
        <sz val="10"/>
        <rFont val="Noto Sans CJK SC"/>
        <family val="2"/>
      </rPr>
      <t xml:space="preserve">开始，正好 </t>
    </r>
    <r>
      <rPr>
        <i val="true"/>
        <sz val="10"/>
        <rFont val="Times New Roman"/>
        <family val="0"/>
        <charset val="1"/>
      </rPr>
      <t xml:space="preserve">4B </t>
    </r>
    <r>
      <rPr>
        <i val="true"/>
        <sz val="10"/>
        <rFont val="Noto Sans CJK SC"/>
        <family val="2"/>
      </rPr>
      <t xml:space="preserve">对齐。</t>
    </r>
  </si>
  <si>
    <t xml:space="preserve">段</t>
  </si>
  <si>
    <t xml:space="preserve">字节偏移</t>
  </si>
  <si>
    <r>
      <rPr>
        <b val="true"/>
        <sz val="10"/>
        <color rgb="FF000000"/>
        <rFont val="Noto Sans CJK SC"/>
        <family val="2"/>
      </rPr>
      <t xml:space="preserve">取值 </t>
    </r>
    <r>
      <rPr>
        <b val="true"/>
        <sz val="10"/>
        <color rgb="FF000000"/>
        <rFont val="Times New Roman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说明</t>
    </r>
  </si>
  <si>
    <r>
      <rPr>
        <b val="true"/>
        <sz val="10"/>
        <color rgb="FF000000"/>
        <rFont val="Noto Sans CJK SC"/>
        <family val="2"/>
      </rPr>
      <t xml:space="preserve">以太头</t>
    </r>
    <r>
      <rPr>
        <b val="true"/>
        <sz val="10"/>
        <color rgb="FF000000"/>
        <rFont val="Times New Roman"/>
        <family val="0"/>
        <charset val="1"/>
      </rPr>
      <t xml:space="preserve">(18B)</t>
    </r>
  </si>
  <si>
    <t xml:space="preserve">DMAC[47:16]</t>
  </si>
  <si>
    <r>
      <rPr>
        <sz val="10"/>
        <color rgb="FF000000"/>
        <rFont val="Times New Roman"/>
        <family val="0"/>
        <charset val="1"/>
      </rPr>
      <t xml:space="preserve">DMAC = </t>
    </r>
    <r>
      <rPr>
        <sz val="10"/>
        <color rgb="FF000000"/>
        <rFont val="Noto Sans CJK SC"/>
        <family val="2"/>
      </rPr>
      <t xml:space="preserve">反射端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</si>
  <si>
    <t xml:space="preserve">DMAC[15:0]</t>
  </si>
  <si>
    <t xml:space="preserve">SMAC[47:32]</t>
  </si>
  <si>
    <r>
      <rPr>
        <sz val="10"/>
        <color rgb="FF000000"/>
        <rFont val="Times New Roman"/>
        <family val="0"/>
        <charset val="1"/>
      </rPr>
      <t xml:space="preserve">SMAC = </t>
    </r>
    <r>
      <rPr>
        <sz val="10"/>
        <color rgb="FF000000"/>
        <rFont val="Noto Sans CJK SC"/>
        <family val="2"/>
      </rPr>
      <t xml:space="preserve">发送端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  <r>
      <rPr>
        <sz val="10"/>
        <color rgb="FF000000"/>
        <rFont val="Noto Sans CJK SC"/>
        <family val="2"/>
      </rPr>
      <t xml:space="preserve">；每路一对 </t>
    </r>
    <r>
      <rPr>
        <sz val="10"/>
        <color rgb="FF000000"/>
        <rFont val="Times New Roman"/>
        <family val="0"/>
        <charset val="1"/>
      </rPr>
      <t xml:space="preserve">VF</t>
    </r>
  </si>
  <si>
    <t xml:space="preserve">SMAC[31:0]</t>
  </si>
  <si>
    <t xml:space="preserve">TPID = 0x8100</t>
  </si>
  <si>
    <t xml:space="preserve">PCP=000</t>
  </si>
  <si>
    <t xml:space="preserve">DEI=0</t>
  </si>
  <si>
    <t xml:space="preserve">VID = 0</t>
  </si>
  <si>
    <r>
      <rPr>
        <sz val="10"/>
        <color rgb="FF000000"/>
        <rFont val="Times New Roman"/>
        <family val="0"/>
        <charset val="1"/>
      </rPr>
      <t xml:space="preserve">802.1Q tag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Times New Roman"/>
        <family val="0"/>
        <charset val="1"/>
      </rPr>
      <t xml:space="preserve">PCP = VC </t>
    </r>
    <r>
      <rPr>
        <sz val="10"/>
        <color rgb="FF000000"/>
        <rFont val="Noto Sans CJK SC"/>
        <family val="2"/>
      </rPr>
      <t xml:space="preserve">编号（本包 </t>
    </r>
    <r>
      <rPr>
        <sz val="10"/>
        <color rgb="FF000000"/>
        <rFont val="Times New Roman"/>
        <family val="0"/>
        <charset val="1"/>
      </rPr>
      <t xml:space="preserve">VC0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Times New Roman"/>
        <family val="0"/>
        <charset val="1"/>
      </rPr>
      <t xml:space="preserve">DEI=0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VID=0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priority tag</t>
    </r>
    <r>
      <rPr>
        <sz val="10"/>
        <color rgb="FF000000"/>
        <rFont val="Noto Sans CJK SC"/>
        <family val="2"/>
      </rPr>
      <t xml:space="preserve">，直连）。</t>
    </r>
    <r>
      <rPr>
        <sz val="10"/>
        <color rgb="FF000000"/>
        <rFont val="Times New Roman"/>
        <family val="0"/>
        <charset val="1"/>
      </rPr>
      <t xml:space="preserve">RX </t>
    </r>
    <r>
      <rPr>
        <sz val="10"/>
        <color rgb="FF000000"/>
        <rFont val="Noto Sans CJK SC"/>
        <family val="2"/>
      </rPr>
      <t xml:space="preserve">侧须关闭 </t>
    </r>
    <r>
      <rPr>
        <sz val="10"/>
        <color rgb="FF000000"/>
        <rFont val="Times New Roman"/>
        <family val="0"/>
        <charset val="1"/>
      </rPr>
      <t xml:space="preserve">VLAN strip</t>
    </r>
  </si>
  <si>
    <t xml:space="preserve">Length = 544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</si>
  <si>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从偏移 </t>
    </r>
    <r>
      <rPr>
        <sz val="10"/>
        <color rgb="FF000000"/>
        <rFont val="Times New Roman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开始，下方按字重新对齐画）</t>
    </r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</si>
  <si>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544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</si>
  <si>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1 writefull
(16B)</t>
    </r>
  </si>
  <si>
    <t xml:space="preserve">frame_type=0000</t>
  </si>
  <si>
    <t xml:space="preserve">awid = n</t>
  </si>
  <si>
    <t xml:space="preserve">awlen=11</t>
  </si>
  <si>
    <t xml:space="preserve">wFull=1111</t>
  </si>
  <si>
    <t xml:space="preserve">awuser[56:44]=0</t>
  </si>
  <si>
    <r>
      <rPr>
        <sz val="10"/>
        <color rgb="FF000000"/>
        <rFont val="Times New Roman"/>
        <family val="0"/>
        <charset val="1"/>
      </rPr>
      <t xml:space="preserve">awid </t>
    </r>
    <r>
      <rPr>
        <sz val="10"/>
        <color rgb="FF000000"/>
        <rFont val="Noto Sans CJK SC"/>
        <family val="2"/>
      </rPr>
      <t xml:space="preserve">循环使用，同一 </t>
    </r>
    <r>
      <rPr>
        <sz val="10"/>
        <color rgb="FF000000"/>
        <rFont val="Times New Roman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不能在途；</t>
    </r>
    <r>
      <rPr>
        <sz val="10"/>
        <color rgb="FF000000"/>
        <rFont val="Times New Roman"/>
        <family val="0"/>
        <charset val="1"/>
      </rPr>
      <t xml:space="preserve">awlen=2'b11 → 4 </t>
    </r>
    <r>
      <rPr>
        <sz val="10"/>
        <color rgb="FF000000"/>
        <rFont val="Noto Sans CJK SC"/>
        <family val="2"/>
      </rPr>
      <t xml:space="preserve">拍；</t>
    </r>
    <r>
      <rPr>
        <sz val="10"/>
        <color rgb="FF000000"/>
        <rFont val="Times New Roman"/>
        <family val="0"/>
        <charset val="1"/>
      </rPr>
      <t xml:space="preserve">writeFull=4'b1111</t>
    </r>
    <r>
      <rPr>
        <sz val="10"/>
        <color rgb="FF000000"/>
        <rFont val="Noto Sans CJK SC"/>
        <family val="2"/>
      </rPr>
      <t xml:space="preserve">（已确认）</t>
    </r>
  </si>
  <si>
    <t xml:space="preserve">awuser[43:12] = 0</t>
  </si>
  <si>
    <r>
      <rPr>
        <sz val="10"/>
        <color rgb="FF000000"/>
        <rFont val="Times New Roman"/>
        <family val="0"/>
        <charset val="1"/>
      </rPr>
      <t xml:space="preserve">awuser </t>
    </r>
    <r>
      <rPr>
        <sz val="10"/>
        <color rgb="FF000000"/>
        <rFont val="Noto Sans CJK SC"/>
        <family val="2"/>
      </rPr>
      <t xml:space="preserve">不做要求，填 </t>
    </r>
    <r>
      <rPr>
        <sz val="10"/>
        <color rgb="FF000000"/>
        <rFont val="Times New Roman"/>
        <family val="0"/>
        <charset val="1"/>
      </rPr>
      <t xml:space="preserve">0</t>
    </r>
  </si>
  <si>
    <t xml:space="preserve">awuser[11:0]=0</t>
  </si>
  <si>
    <t xml:space="preserve">awaddr[48:29]</t>
  </si>
  <si>
    <r>
      <rPr>
        <sz val="10"/>
        <color rgb="FF000000"/>
        <rFont val="Times New Roman"/>
        <family val="0"/>
        <charset val="1"/>
      </rPr>
      <t xml:space="preserve">awaddr </t>
    </r>
    <r>
      <rPr>
        <sz val="10"/>
        <color rgb="FF000000"/>
        <rFont val="Noto Sans CJK SC"/>
        <family val="2"/>
      </rPr>
      <t xml:space="preserve">不做要求（可填递增地址便于抓包辨认）</t>
    </r>
  </si>
  <si>
    <t xml:space="preserve">awaddr[28:0]</t>
  </si>
  <si>
    <t xml:space="preserve">awsize=110</t>
  </si>
  <si>
    <r>
      <rPr>
        <sz val="10"/>
        <color rgb="FF000000"/>
        <rFont val="Times New Roman"/>
        <family val="0"/>
        <charset val="1"/>
      </rPr>
      <t xml:space="preserve">awsize=3'b110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Times New Roman"/>
        <family val="0"/>
        <charset val="1"/>
      </rPr>
      <t xml:space="preserve">64B/</t>
    </r>
    <r>
      <rPr>
        <sz val="10"/>
        <color rgb="FF000000"/>
        <rFont val="Noto Sans CJK SC"/>
        <family val="2"/>
      </rPr>
      <t xml:space="preserve">拍（已确认）</t>
    </r>
  </si>
  <si>
    <t xml:space="preserve">wdata(64B)</t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</si>
  <si>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</si>
  <si>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</si>
  <si>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</si>
  <si>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…</t>
  </si>
  <si>
    <t xml:space="preserve">42~93</t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</si>
  <si>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</si>
  <si>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</si>
  <si>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</si>
  <si>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</si>
  <si>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106~157</t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</si>
  <si>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</si>
  <si>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</si>
  <si>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</si>
  <si>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</si>
  <si>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170~221</t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</si>
  <si>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</si>
  <si>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</si>
  <si>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</si>
  <si>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</si>
  <si>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234~285</t>
  </si>
  <si>
    <r>
      <rPr>
        <sz val="10"/>
        <color rgb="FF000000"/>
        <rFont val="Times New Roman"/>
        <family val="0"/>
        <charset val="1"/>
      </rPr>
      <t xml:space="preserve">wdata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</si>
  <si>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2 writefull
(16B)</t>
    </r>
  </si>
  <si>
    <t xml:space="preserve">awid = n+1</t>
  </si>
  <si>
    <t xml:space="preserve">314~365</t>
  </si>
  <si>
    <t xml:space="preserve">378~429</t>
  </si>
  <si>
    <t xml:space="preserve">442~493</t>
  </si>
  <si>
    <t xml:space="preserve">506~557</t>
  </si>
  <si>
    <t xml:space="preserve">FCS(4B)</t>
  </si>
  <si>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（网卡自动生成）</t>
    </r>
  </si>
  <si>
    <t xml:space="preserve">网卡计算并追加，软件不填</t>
  </si>
  <si>
    <r>
      <rPr>
        <b val="true"/>
        <sz val="11"/>
        <rFont val="Noto Sans CJK SC"/>
        <family val="2"/>
      </rPr>
      <t xml:space="preserve">包长与 </t>
    </r>
    <r>
      <rPr>
        <b val="true"/>
        <sz val="11"/>
        <rFont val="Times New Roman"/>
        <family val="0"/>
        <charset val="1"/>
      </rPr>
      <t xml:space="preserve">RTT </t>
    </r>
    <r>
      <rPr>
        <b val="true"/>
        <sz val="11"/>
        <rFont val="Noto Sans CJK SC"/>
        <family val="2"/>
      </rPr>
      <t xml:space="preserve">预算（蓝色为输入，可改）</t>
    </r>
  </si>
  <si>
    <r>
      <rPr>
        <sz val="10"/>
        <rFont val="Noto Sans CJK SC"/>
        <family val="2"/>
      </rPr>
      <t xml:space="preserve">每包事务数 </t>
    </r>
    <r>
      <rPr>
        <sz val="10"/>
        <rFont val="Times New Roman"/>
        <family val="0"/>
        <charset val="1"/>
      </rPr>
      <t xml:space="preserve">k</t>
    </r>
  </si>
  <si>
    <t xml:space="preserve">输入</t>
  </si>
  <si>
    <r>
      <rPr>
        <sz val="10"/>
        <rFont val="Noto Sans CJK SC"/>
        <family val="2"/>
      </rPr>
      <t xml:space="preserve">每事务数据拍数（</t>
    </r>
    <r>
      <rPr>
        <sz val="10"/>
        <rFont val="Times New Roman"/>
        <family val="0"/>
        <charset val="1"/>
      </rPr>
      <t xml:space="preserve">len+1</t>
    </r>
    <r>
      <rPr>
        <sz val="10"/>
        <rFont val="Noto Sans CJK SC"/>
        <family val="2"/>
      </rPr>
      <t xml:space="preserve">）</t>
    </r>
  </si>
  <si>
    <r>
      <rPr>
        <i val="true"/>
        <sz val="9"/>
        <rFont val="Noto Sans CJK SC"/>
        <family val="2"/>
      </rPr>
      <t xml:space="preserve">输入；</t>
    </r>
    <r>
      <rPr>
        <i val="true"/>
        <sz val="9"/>
        <rFont val="Times New Roman"/>
        <family val="0"/>
        <charset val="1"/>
      </rPr>
      <t xml:space="preserve">k × </t>
    </r>
    <r>
      <rPr>
        <i val="true"/>
        <sz val="9"/>
        <rFont val="Noto Sans CJK SC"/>
        <family val="2"/>
      </rPr>
      <t xml:space="preserve">拍数 ≤ </t>
    </r>
    <r>
      <rPr>
        <i val="true"/>
        <sz val="9"/>
        <rFont val="Times New Roman"/>
        <family val="0"/>
        <charset val="1"/>
      </rPr>
      <t xml:space="preserve">8</t>
    </r>
  </si>
  <si>
    <r>
      <rPr>
        <sz val="10"/>
        <rFont val="Noto Sans CJK SC"/>
        <family val="2"/>
      </rPr>
      <t xml:space="preserve">每拍 </t>
    </r>
    <r>
      <rPr>
        <sz val="10"/>
        <rFont val="Times New Roman"/>
        <family val="0"/>
        <charset val="1"/>
      </rPr>
      <t xml:space="preserve">wstrb </t>
    </r>
    <r>
      <rPr>
        <sz val="10"/>
        <rFont val="Noto Sans CJK SC"/>
        <family val="2"/>
      </rPr>
      <t xml:space="preserve">字节数</t>
    </r>
  </si>
  <si>
    <r>
      <rPr>
        <i val="true"/>
        <sz val="9"/>
        <rFont val="Noto Sans CJK SC"/>
        <family val="2"/>
      </rPr>
      <t xml:space="preserve">输入；</t>
    </r>
    <r>
      <rPr>
        <i val="true"/>
        <sz val="9"/>
        <rFont val="Times New Roman"/>
        <family val="0"/>
        <charset val="1"/>
      </rPr>
      <t xml:space="preserve">writefull=0</t>
    </r>
    <r>
      <rPr>
        <i val="true"/>
        <sz val="9"/>
        <rFont val="Noto Sans CJK SC"/>
        <family val="2"/>
      </rPr>
      <t xml:space="preserve">，</t>
    </r>
    <r>
      <rPr>
        <i val="true"/>
        <sz val="9"/>
        <rFont val="Times New Roman"/>
        <family val="0"/>
        <charset val="1"/>
      </rPr>
      <t xml:space="preserve">write=8</t>
    </r>
  </si>
  <si>
    <r>
      <rPr>
        <sz val="10"/>
        <rFont val="Noto Sans CJK SC"/>
        <family val="2"/>
      </rPr>
      <t xml:space="preserve">每 </t>
    </r>
    <r>
      <rPr>
        <sz val="10"/>
        <rFont val="Times New Roman"/>
        <family val="0"/>
        <charset val="1"/>
      </rPr>
      <t xml:space="preserve">VF </t>
    </r>
    <r>
      <rPr>
        <sz val="10"/>
        <rFont val="Noto Sans CJK SC"/>
        <family val="2"/>
      </rPr>
      <t xml:space="preserve">线速 </t>
    </r>
    <r>
      <rPr>
        <sz val="10"/>
        <rFont val="Times New Roman"/>
        <family val="0"/>
        <charset val="1"/>
      </rPr>
      <t xml:space="preserve">(Gbps)</t>
    </r>
  </si>
  <si>
    <r>
      <rPr>
        <i val="true"/>
        <sz val="9"/>
        <rFont val="Noto Sans CJK SC"/>
        <family val="2"/>
      </rPr>
      <t xml:space="preserve">输入；</t>
    </r>
    <r>
      <rPr>
        <i val="true"/>
        <sz val="9"/>
        <rFont val="Times New Roman"/>
        <family val="0"/>
        <charset val="1"/>
      </rPr>
      <t xml:space="preserve">4 </t>
    </r>
    <r>
      <rPr>
        <i val="true"/>
        <sz val="9"/>
        <rFont val="Noto Sans CJK SC"/>
        <family val="2"/>
      </rPr>
      <t xml:space="preserve">路 </t>
    </r>
    <r>
      <rPr>
        <i val="true"/>
        <sz val="9"/>
        <rFont val="Times New Roman"/>
        <family val="0"/>
        <charset val="1"/>
      </rPr>
      <t xml:space="preserve">VF </t>
    </r>
    <r>
      <rPr>
        <i val="true"/>
        <sz val="9"/>
        <rFont val="Noto Sans CJK SC"/>
        <family val="2"/>
      </rPr>
      <t xml:space="preserve">共享 </t>
    </r>
    <r>
      <rPr>
        <i val="true"/>
        <sz val="9"/>
        <rFont val="Times New Roman"/>
        <family val="0"/>
        <charset val="1"/>
      </rPr>
      <t xml:space="preserve">400G</t>
    </r>
  </si>
  <si>
    <t xml:space="preserve">在途窗口（事务数）</t>
  </si>
  <si>
    <r>
      <rPr>
        <i val="true"/>
        <sz val="9"/>
        <rFont val="Noto Sans CJK SC"/>
        <family val="2"/>
      </rPr>
      <t xml:space="preserve">输入；</t>
    </r>
    <r>
      <rPr>
        <i val="true"/>
        <sz val="9"/>
        <rFont val="Times New Roman"/>
        <family val="0"/>
        <charset val="1"/>
      </rPr>
      <t xml:space="preserve">awid/arid 9bit </t>
    </r>
    <r>
      <rPr>
        <i val="true"/>
        <sz val="9"/>
        <rFont val="Noto Sans CJK SC"/>
        <family val="2"/>
      </rPr>
      <t xml:space="preserve">循环</t>
    </r>
  </si>
  <si>
    <r>
      <rPr>
        <sz val="10"/>
        <rFont val="Noto Sans CJK SC"/>
        <family val="2"/>
      </rPr>
      <t xml:space="preserve">数据拍合计（须 ≤ </t>
    </r>
    <r>
      <rPr>
        <sz val="10"/>
        <rFont val="Times New Roman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</si>
  <si>
    <r>
      <rPr>
        <sz val="10"/>
        <rFont val="Times New Roman"/>
        <family val="0"/>
        <charset val="1"/>
      </rPr>
      <t xml:space="preserve">payload </t>
    </r>
    <r>
      <rPr>
        <sz val="10"/>
        <rFont val="Noto Sans CJK SC"/>
        <family val="2"/>
      </rPr>
      <t xml:space="preserve">长度 </t>
    </r>
    <r>
      <rPr>
        <sz val="10"/>
        <rFont val="Times New Roman"/>
        <family val="0"/>
        <charset val="1"/>
      </rPr>
      <t xml:space="preserve">(B) = Length </t>
    </r>
    <r>
      <rPr>
        <sz val="10"/>
        <rFont val="Noto Sans CJK SC"/>
        <family val="2"/>
      </rPr>
      <t xml:space="preserve">字段</t>
    </r>
  </si>
  <si>
    <r>
      <rPr>
        <i val="true"/>
        <sz val="9"/>
        <rFont val="Noto Sans CJK SC"/>
        <family val="2"/>
      </rPr>
      <t xml:space="preserve">即 </t>
    </r>
    <r>
      <rPr>
        <i val="true"/>
        <sz val="9"/>
        <rFont val="Times New Roman"/>
        <family val="0"/>
        <charset val="1"/>
      </rPr>
      <t xml:space="preserve">802.3 Length </t>
    </r>
    <r>
      <rPr>
        <i val="true"/>
        <sz val="9"/>
        <rFont val="Noto Sans CJK SC"/>
        <family val="2"/>
      </rPr>
      <t xml:space="preserve">字段取值</t>
    </r>
  </si>
  <si>
    <r>
      <rPr>
        <sz val="10"/>
        <rFont val="Noto Sans CJK SC"/>
        <family val="2"/>
      </rPr>
      <t xml:space="preserve">以太帧长 </t>
    </r>
    <r>
      <rPr>
        <sz val="10"/>
        <rFont val="Times New Roman"/>
        <family val="0"/>
        <charset val="1"/>
      </rPr>
      <t xml:space="preserve">(B)</t>
    </r>
  </si>
  <si>
    <r>
      <rPr>
        <i val="true"/>
        <sz val="9"/>
        <rFont val="Noto Sans CJK SC"/>
        <family val="2"/>
      </rPr>
      <t xml:space="preserve">帧头 </t>
    </r>
    <r>
      <rPr>
        <i val="true"/>
        <sz val="9"/>
        <rFont val="Times New Roman"/>
        <family val="0"/>
        <charset val="1"/>
      </rPr>
      <t xml:space="preserve">18B + payload</t>
    </r>
    <r>
      <rPr>
        <i val="true"/>
        <sz val="9"/>
        <rFont val="Noto Sans CJK SC"/>
        <family val="2"/>
      </rPr>
      <t xml:space="preserve">，不足 </t>
    </r>
    <r>
      <rPr>
        <i val="true"/>
        <sz val="9"/>
        <rFont val="Times New Roman"/>
        <family val="0"/>
        <charset val="1"/>
      </rPr>
      <t xml:space="preserve">60B </t>
    </r>
    <r>
      <rPr>
        <i val="true"/>
        <sz val="9"/>
        <rFont val="Noto Sans CJK SC"/>
        <family val="2"/>
      </rPr>
      <t xml:space="preserve">补齐，</t>
    </r>
    <r>
      <rPr>
        <i val="true"/>
        <sz val="9"/>
        <rFont val="Times New Roman"/>
        <family val="0"/>
        <charset val="1"/>
      </rPr>
      <t xml:space="preserve">+FCS 4B</t>
    </r>
  </si>
  <si>
    <r>
      <rPr>
        <sz val="10"/>
        <rFont val="Noto Sans CJK SC"/>
        <family val="2"/>
      </rPr>
      <t xml:space="preserve">线上占用 </t>
    </r>
    <r>
      <rPr>
        <sz val="10"/>
        <rFont val="Times New Roman"/>
        <family val="0"/>
        <charset val="1"/>
      </rPr>
      <t xml:space="preserve">(B)</t>
    </r>
  </si>
  <si>
    <t xml:space="preserve">+ preamble/SFD 8B + IFG 12B</t>
  </si>
  <si>
    <r>
      <rPr>
        <sz val="10"/>
        <rFont val="Noto Sans CJK SC"/>
        <family val="2"/>
      </rPr>
      <t xml:space="preserve">每 </t>
    </r>
    <r>
      <rPr>
        <sz val="10"/>
        <rFont val="Times New Roman"/>
        <family val="0"/>
        <charset val="1"/>
      </rPr>
      <t xml:space="preserve">VF </t>
    </r>
    <r>
      <rPr>
        <sz val="10"/>
        <rFont val="Noto Sans CJK SC"/>
        <family val="2"/>
      </rPr>
      <t xml:space="preserve">包速率 </t>
    </r>
    <r>
      <rPr>
        <sz val="10"/>
        <rFont val="Times New Roman"/>
        <family val="0"/>
        <charset val="1"/>
      </rPr>
      <t xml:space="preserve">(Mpps)</t>
    </r>
  </si>
  <si>
    <r>
      <rPr>
        <sz val="10"/>
        <rFont val="Noto Sans CJK SC"/>
        <family val="2"/>
      </rPr>
      <t xml:space="preserve">每事务间隔 </t>
    </r>
    <r>
      <rPr>
        <sz val="10"/>
        <rFont val="Times New Roman"/>
        <family val="0"/>
        <charset val="1"/>
      </rPr>
      <t xml:space="preserve">(ns)</t>
    </r>
  </si>
  <si>
    <r>
      <rPr>
        <sz val="10"/>
        <rFont val="Times New Roman"/>
        <family val="0"/>
        <charset val="1"/>
      </rPr>
      <t xml:space="preserve">RTT </t>
    </r>
    <r>
      <rPr>
        <sz val="10"/>
        <rFont val="Noto Sans CJK SC"/>
        <family val="2"/>
      </rPr>
      <t xml:space="preserve">预算 </t>
    </r>
    <r>
      <rPr>
        <sz val="10"/>
        <rFont val="Times New Roman"/>
        <family val="0"/>
        <charset val="1"/>
      </rPr>
      <t xml:space="preserve">(µs)</t>
    </r>
  </si>
  <si>
    <r>
      <rPr>
        <i val="true"/>
        <sz val="9"/>
        <rFont val="Noto Sans CJK SC"/>
        <family val="2"/>
      </rPr>
      <t xml:space="preserve">满载 </t>
    </r>
    <r>
      <rPr>
        <i val="true"/>
        <sz val="9"/>
        <rFont val="Times New Roman"/>
        <family val="0"/>
        <charset val="1"/>
      </rPr>
      <t xml:space="preserve">RTT </t>
    </r>
    <r>
      <rPr>
        <i val="true"/>
        <sz val="9"/>
        <rFont val="Noto Sans CJK SC"/>
        <family val="2"/>
      </rPr>
      <t xml:space="preserve">须小于此值才能打满</t>
    </r>
  </si>
  <si>
    <r>
      <rPr>
        <b val="true"/>
        <sz val="14"/>
        <rFont val="Times New Roman"/>
        <family val="0"/>
        <charset val="1"/>
      </rPr>
      <t xml:space="preserve">VC2 </t>
    </r>
    <r>
      <rPr>
        <b val="true"/>
        <sz val="14"/>
        <rFont val="Noto Sans CJK SC"/>
        <family val="2"/>
      </rPr>
      <t xml:space="preserve">写响应包（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对应测试用例的 </t>
    </r>
    <r>
      <rPr>
        <b val="true"/>
        <sz val="14"/>
        <rFont val="Times New Roman"/>
        <family val="0"/>
        <charset val="1"/>
      </rPr>
      <t xml:space="preserve">2 </t>
    </r>
    <r>
      <rPr>
        <b val="true"/>
        <sz val="14"/>
        <rFont val="Noto Sans CJK SC"/>
        <family val="2"/>
      </rPr>
      <t xml:space="preserve">个写事务，反射端输出；演示短包 </t>
    </r>
    <r>
      <rPr>
        <b val="true"/>
        <sz val="14"/>
        <rFont val="Times New Roman"/>
        <family val="0"/>
        <charset val="1"/>
      </rPr>
      <t xml:space="preserve">padding</t>
    </r>
  </si>
  <si>
    <r>
      <rPr>
        <sz val="10"/>
        <color rgb="FF000000"/>
        <rFont val="Times New Roman"/>
        <family val="0"/>
        <charset val="1"/>
      </rPr>
      <t xml:space="preserve">DMAC = </t>
    </r>
    <r>
      <rPr>
        <sz val="10"/>
        <color rgb="FF000000"/>
        <rFont val="Noto Sans CJK SC"/>
        <family val="2"/>
      </rPr>
      <t xml:space="preserve">发送端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  <r>
      <rPr>
        <sz val="10"/>
        <color rgb="FF000000"/>
        <rFont val="Noto Sans CJK SC"/>
        <family val="2"/>
      </rPr>
      <t xml:space="preserve">（与请求互换）</t>
    </r>
  </si>
  <si>
    <r>
      <rPr>
        <sz val="10"/>
        <color rgb="FF000000"/>
        <rFont val="Times New Roman"/>
        <family val="0"/>
        <charset val="1"/>
      </rPr>
      <t xml:space="preserve">SMAC = </t>
    </r>
    <r>
      <rPr>
        <sz val="10"/>
        <color rgb="FF000000"/>
        <rFont val="Noto Sans CJK SC"/>
        <family val="2"/>
      </rPr>
      <t xml:space="preserve">反射端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</si>
  <si>
    <t xml:space="preserve">PCP=010</t>
  </si>
  <si>
    <r>
      <rPr>
        <sz val="10"/>
        <color rgb="FF000000"/>
        <rFont val="Times New Roman"/>
        <family val="0"/>
        <charset val="1"/>
      </rPr>
      <t xml:space="preserve">802.1Q tag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Times New Roman"/>
        <family val="0"/>
        <charset val="1"/>
      </rPr>
      <t xml:space="preserve">PCP = VC </t>
    </r>
    <r>
      <rPr>
        <sz val="10"/>
        <color rgb="FF000000"/>
        <rFont val="Noto Sans CJK SC"/>
        <family val="2"/>
      </rPr>
      <t xml:space="preserve">编号（本包 </t>
    </r>
    <r>
      <rPr>
        <sz val="10"/>
        <color rgb="FF000000"/>
        <rFont val="Times New Roman"/>
        <family val="0"/>
        <charset val="1"/>
      </rPr>
      <t xml:space="preserve">VC2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Times New Roman"/>
        <family val="0"/>
        <charset val="1"/>
      </rPr>
      <t xml:space="preserve">DEI=0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VID=0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priority tag</t>
    </r>
    <r>
      <rPr>
        <sz val="10"/>
        <color rgb="FF000000"/>
        <rFont val="Noto Sans CJK SC"/>
        <family val="2"/>
      </rPr>
      <t xml:space="preserve">，直连）。</t>
    </r>
    <r>
      <rPr>
        <sz val="10"/>
        <color rgb="FF000000"/>
        <rFont val="Times New Roman"/>
        <family val="0"/>
        <charset val="1"/>
      </rPr>
      <t xml:space="preserve">RX </t>
    </r>
    <r>
      <rPr>
        <sz val="10"/>
        <color rgb="FF000000"/>
        <rFont val="Noto Sans CJK SC"/>
        <family val="2"/>
      </rPr>
      <t xml:space="preserve">侧须关闭 </t>
    </r>
    <r>
      <rPr>
        <sz val="10"/>
        <color rgb="FF000000"/>
        <rFont val="Times New Roman"/>
        <family val="0"/>
        <charset val="1"/>
      </rPr>
      <t xml:space="preserve">VLAN strip</t>
    </r>
  </si>
  <si>
    <t xml:space="preserve">Length = 24</t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</si>
  <si>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24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</si>
  <si>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t xml:space="preserve">wrRsp1
(12B)</t>
  </si>
  <si>
    <t xml:space="preserve">frame_type=0010</t>
  </si>
  <si>
    <t xml:space="preserve">bid = n</t>
  </si>
  <si>
    <t xml:space="preserve">buser[80:62] = 0</t>
  </si>
  <si>
    <r>
      <rPr>
        <sz val="10"/>
        <color rgb="FF000000"/>
        <rFont val="Times New Roman"/>
        <family val="0"/>
        <charset val="1"/>
      </rPr>
      <t xml:space="preserve">bid = </t>
    </r>
    <r>
      <rPr>
        <sz val="10"/>
        <color rgb="FF000000"/>
        <rFont val="Noto Sans CJK SC"/>
        <family val="2"/>
      </rPr>
      <t xml:space="preserve">对应请求的 </t>
    </r>
    <r>
      <rPr>
        <sz val="10"/>
        <color rgb="FF000000"/>
        <rFont val="Times New Roman"/>
        <family val="0"/>
        <charset val="1"/>
      </rPr>
      <t xml:space="preserve">awid</t>
    </r>
    <r>
      <rPr>
        <sz val="10"/>
        <color rgb="FF000000"/>
        <rFont val="Noto Sans CJK SC"/>
        <family val="2"/>
      </rPr>
      <t xml:space="preserve">；其他字段不做要求</t>
    </r>
  </si>
  <si>
    <t xml:space="preserve">buser[61:30] = 0</t>
  </si>
  <si>
    <t xml:space="preserve">buser[29:0] = 0</t>
  </si>
  <si>
    <t xml:space="preserve">BRESP=00</t>
  </si>
  <si>
    <t xml:space="preserve">BRESP=OKAY</t>
  </si>
  <si>
    <t xml:space="preserve">wrRsp2
(12B)</t>
  </si>
  <si>
    <t xml:space="preserve">bid = n+1</t>
  </si>
  <si>
    <t xml:space="preserve">padding</t>
  </si>
  <si>
    <r>
      <rPr>
        <sz val="10"/>
        <color rgb="FF000000"/>
        <rFont val="Times New Roman"/>
        <family val="0"/>
        <charset val="1"/>
      </rPr>
      <t xml:space="preserve">padding = 0</t>
    </r>
    <r>
      <rPr>
        <sz val="10"/>
        <color rgb="FF000000"/>
        <rFont val="Noto Sans CJK SC"/>
        <family val="2"/>
      </rPr>
      <t xml:space="preserve">（网卡自动补齐到 </t>
    </r>
    <r>
      <rPr>
        <sz val="10"/>
        <color rgb="FF000000"/>
        <rFont val="Times New Roman"/>
        <family val="0"/>
        <charset val="1"/>
      </rPr>
      <t xml:space="preserve">60B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</si>
  <si>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帧不足 </t>
    </r>
    <r>
      <rPr>
        <sz val="10"/>
        <color rgb="FF000000"/>
        <rFont val="Times New Roman"/>
        <family val="0"/>
        <charset val="1"/>
      </rPr>
      <t xml:space="preserve">60B</t>
    </r>
    <r>
      <rPr>
        <sz val="10"/>
        <color rgb="FF000000"/>
        <rFont val="Noto Sans CJK SC"/>
        <family val="2"/>
      </rPr>
      <t xml:space="preserve">，网卡补零；接收端按 </t>
    </r>
    <r>
      <rPr>
        <sz val="10"/>
        <color rgb="FF000000"/>
        <rFont val="Times New Roman"/>
        <family val="0"/>
        <charset val="1"/>
      </rPr>
      <t xml:space="preserve">Length=24 </t>
    </r>
    <r>
      <rPr>
        <sz val="10"/>
        <color rgb="FF000000"/>
        <rFont val="Noto Sans CJK SC"/>
        <family val="2"/>
      </rPr>
      <t xml:space="preserve">截断即可忽略</t>
    </r>
  </si>
  <si>
    <r>
      <rPr>
        <sz val="10"/>
        <color rgb="FF000000"/>
        <rFont val="Times New Roman"/>
        <family val="0"/>
        <charset val="1"/>
      </rPr>
      <t xml:space="preserve">padding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2B</t>
    </r>
    <r>
      <rPr>
        <sz val="10"/>
        <color rgb="FF000000"/>
        <rFont val="Noto Sans CJK SC"/>
        <family val="2"/>
      </rPr>
      <t xml:space="preserve">）</t>
    </r>
  </si>
  <si>
    <t xml:space="preserve">58~59</t>
  </si>
  <si>
    <r>
      <rPr>
        <b val="true"/>
        <sz val="11"/>
        <rFont val="Noto Sans CJK SC"/>
        <family val="2"/>
      </rPr>
      <t xml:space="preserve">包长（蓝色为输入；</t>
    </r>
    <r>
      <rPr>
        <b val="true"/>
        <sz val="11"/>
        <rFont val="Times New Roman"/>
        <family val="0"/>
        <charset val="1"/>
      </rPr>
      <t xml:space="preserve">wrRsp </t>
    </r>
    <r>
      <rPr>
        <b val="true"/>
        <sz val="11"/>
        <rFont val="Noto Sans CJK SC"/>
        <family val="2"/>
      </rPr>
      <t xml:space="preserve">每个 </t>
    </r>
    <r>
      <rPr>
        <b val="true"/>
        <sz val="11"/>
        <rFont val="Times New Roman"/>
        <family val="0"/>
        <charset val="1"/>
      </rPr>
      <t xml:space="preserve">12B</t>
    </r>
    <r>
      <rPr>
        <b val="true"/>
        <sz val="11"/>
        <rFont val="Noto Sans CJK SC"/>
        <family val="2"/>
      </rPr>
      <t xml:space="preserve">，无数据拍）</t>
    </r>
  </si>
  <si>
    <r>
      <rPr>
        <b val="true"/>
        <sz val="14"/>
        <rFont val="Times New Roman"/>
        <family val="0"/>
        <charset val="1"/>
      </rPr>
      <t xml:space="preserve">VC1 </t>
    </r>
    <r>
      <rPr>
        <b val="true"/>
        <sz val="14"/>
        <rFont val="Noto Sans CJK SC"/>
        <family val="2"/>
      </rPr>
      <t xml:space="preserve">读请求包（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</t>
    </r>
    <r>
      <rPr>
        <b val="true"/>
        <sz val="14"/>
        <rFont val="Times New Roman"/>
        <family val="0"/>
        <charset val="1"/>
      </rPr>
      <t xml:space="preserve">read × 2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arlen=3</t>
    </r>
    <r>
      <rPr>
        <b val="true"/>
        <sz val="14"/>
        <rFont val="Noto Sans CJK SC"/>
        <family val="2"/>
      </rPr>
      <t xml:space="preserve">（每个读 </t>
    </r>
    <r>
      <rPr>
        <b val="true"/>
        <sz val="14"/>
        <rFont val="Times New Roman"/>
        <family val="0"/>
        <charset val="1"/>
      </rPr>
      <t xml:space="preserve">256B</t>
    </r>
    <r>
      <rPr>
        <b val="true"/>
        <sz val="14"/>
        <rFont val="Noto Sans CJK SC"/>
        <family val="2"/>
      </rPr>
      <t xml:space="preserve">）；对应 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个 </t>
    </r>
    <r>
      <rPr>
        <b val="true"/>
        <sz val="14"/>
        <rFont val="Times New Roman"/>
        <family val="0"/>
        <charset val="1"/>
      </rPr>
      <t xml:space="preserve">2×256B </t>
    </r>
    <r>
      <rPr>
        <b val="true"/>
        <sz val="14"/>
        <rFont val="Noto Sans CJK SC"/>
        <family val="2"/>
      </rPr>
      <t xml:space="preserve">读响应包</t>
    </r>
  </si>
  <si>
    <r>
      <rPr>
        <sz val="10"/>
        <color rgb="FF000000"/>
        <rFont val="Times New Roman"/>
        <family val="0"/>
        <charset val="1"/>
      </rPr>
      <t xml:space="preserve">SMAC = </t>
    </r>
    <r>
      <rPr>
        <sz val="10"/>
        <color rgb="FF000000"/>
        <rFont val="Noto Sans CJK SC"/>
        <family val="2"/>
      </rPr>
      <t xml:space="preserve">发送端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</si>
  <si>
    <t xml:space="preserve">PCP=001</t>
  </si>
  <si>
    <r>
      <rPr>
        <sz val="10"/>
        <color rgb="FF000000"/>
        <rFont val="Times New Roman"/>
        <family val="0"/>
        <charset val="1"/>
      </rPr>
      <t xml:space="preserve">802.1Q tag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Times New Roman"/>
        <family val="0"/>
        <charset val="1"/>
      </rPr>
      <t xml:space="preserve">PCP = VC </t>
    </r>
    <r>
      <rPr>
        <sz val="10"/>
        <color rgb="FF000000"/>
        <rFont val="Noto Sans CJK SC"/>
        <family val="2"/>
      </rPr>
      <t xml:space="preserve">编号（本包 </t>
    </r>
    <r>
      <rPr>
        <sz val="10"/>
        <color rgb="FF000000"/>
        <rFont val="Times New Roman"/>
        <family val="0"/>
        <charset val="1"/>
      </rPr>
      <t xml:space="preserve">VC1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Times New Roman"/>
        <family val="0"/>
        <charset val="1"/>
      </rPr>
      <t xml:space="preserve">DEI=0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VID=0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priority tag</t>
    </r>
    <r>
      <rPr>
        <sz val="10"/>
        <color rgb="FF000000"/>
        <rFont val="Noto Sans CJK SC"/>
        <family val="2"/>
      </rPr>
      <t xml:space="preserve">，直连）。</t>
    </r>
    <r>
      <rPr>
        <sz val="10"/>
        <color rgb="FF000000"/>
        <rFont val="Times New Roman"/>
        <family val="0"/>
        <charset val="1"/>
      </rPr>
      <t xml:space="preserve">RX </t>
    </r>
    <r>
      <rPr>
        <sz val="10"/>
        <color rgb="FF000000"/>
        <rFont val="Noto Sans CJK SC"/>
        <family val="2"/>
      </rPr>
      <t xml:space="preserve">侧须关闭 </t>
    </r>
    <r>
      <rPr>
        <sz val="10"/>
        <color rgb="FF000000"/>
        <rFont val="Times New Roman"/>
        <family val="0"/>
        <charset val="1"/>
      </rPr>
      <t xml:space="preserve">VLAN strip</t>
    </r>
  </si>
  <si>
    <t xml:space="preserve">Length = 32</t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</si>
  <si>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32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</si>
  <si>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1 read
(16B)</t>
    </r>
  </si>
  <si>
    <t xml:space="preserve">frame_type=0011</t>
  </si>
  <si>
    <t xml:space="preserve">arid = m</t>
  </si>
  <si>
    <t xml:space="preserve">aruser[60:42] = 0</t>
  </si>
  <si>
    <r>
      <rPr>
        <sz val="10"/>
        <color rgb="FF000000"/>
        <rFont val="Times New Roman"/>
        <family val="0"/>
        <charset val="1"/>
      </rPr>
      <t xml:space="preserve">arid </t>
    </r>
    <r>
      <rPr>
        <sz val="10"/>
        <color rgb="FF000000"/>
        <rFont val="Noto Sans CJK SC"/>
        <family val="2"/>
      </rPr>
      <t xml:space="preserve">循环使用，同一 </t>
    </r>
    <r>
      <rPr>
        <sz val="10"/>
        <color rgb="FF000000"/>
        <rFont val="Times New Roman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不能在途（与 </t>
    </r>
    <r>
      <rPr>
        <sz val="10"/>
        <color rgb="FF000000"/>
        <rFont val="Times New Roman"/>
        <family val="0"/>
        <charset val="1"/>
      </rPr>
      <t xml:space="preserve">awid </t>
    </r>
    <r>
      <rPr>
        <sz val="10"/>
        <color rgb="FF000000"/>
        <rFont val="Noto Sans CJK SC"/>
        <family val="2"/>
      </rPr>
      <t xml:space="preserve">独立的 </t>
    </r>
    <r>
      <rPr>
        <sz val="10"/>
        <color rgb="FF000000"/>
        <rFont val="Times New Roman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空间）</t>
    </r>
  </si>
  <si>
    <t xml:space="preserve">aruser[41:10] = 0</t>
  </si>
  <si>
    <r>
      <rPr>
        <sz val="10"/>
        <color rgb="FF000000"/>
        <rFont val="Times New Roman"/>
        <family val="0"/>
        <charset val="1"/>
      </rPr>
      <t xml:space="preserve">aruser </t>
    </r>
    <r>
      <rPr>
        <sz val="10"/>
        <color rgb="FF000000"/>
        <rFont val="Noto Sans CJK SC"/>
        <family val="2"/>
      </rPr>
      <t xml:space="preserve">不做要求，填 </t>
    </r>
    <r>
      <rPr>
        <sz val="10"/>
        <color rgb="FF000000"/>
        <rFont val="Times New Roman"/>
        <family val="0"/>
        <charset val="1"/>
      </rPr>
      <t xml:space="preserve">0</t>
    </r>
  </si>
  <si>
    <t xml:space="preserve">aruser[9:0]=0</t>
  </si>
  <si>
    <t xml:space="preserve">araddr[48:27]</t>
  </si>
  <si>
    <r>
      <rPr>
        <sz val="10"/>
        <color rgb="FF000000"/>
        <rFont val="Times New Roman"/>
        <family val="0"/>
        <charset val="1"/>
      </rPr>
      <t xml:space="preserve">araddr </t>
    </r>
    <r>
      <rPr>
        <sz val="10"/>
        <color rgb="FF000000"/>
        <rFont val="Noto Sans CJK SC"/>
        <family val="2"/>
      </rPr>
      <t xml:space="preserve">不做要求（可填递增地址）</t>
    </r>
  </si>
  <si>
    <t xml:space="preserve">araddr[26:0]</t>
  </si>
  <si>
    <t xml:space="preserve">arlen=11</t>
  </si>
  <si>
    <t xml:space="preserve">arsize=110</t>
  </si>
  <si>
    <r>
      <rPr>
        <sz val="10"/>
        <color rgb="FF000000"/>
        <rFont val="Times New Roman"/>
        <family val="0"/>
        <charset val="1"/>
      </rPr>
      <t xml:space="preserve">arlen=2'b11 → 4 </t>
    </r>
    <r>
      <rPr>
        <sz val="10"/>
        <color rgb="FF000000"/>
        <rFont val="Noto Sans CJK SC"/>
        <family val="2"/>
      </rPr>
      <t xml:space="preserve">拍；</t>
    </r>
    <r>
      <rPr>
        <sz val="10"/>
        <color rgb="FF000000"/>
        <rFont val="Times New Roman"/>
        <family val="0"/>
        <charset val="1"/>
      </rPr>
      <t xml:space="preserve">arsize=3'b110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64B/</t>
    </r>
    <r>
      <rPr>
        <sz val="10"/>
        <color rgb="FF000000"/>
        <rFont val="Noto Sans CJK SC"/>
        <family val="2"/>
      </rPr>
      <t xml:space="preserve">拍）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</si>
  <si>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2 read
(16B)</t>
    </r>
  </si>
  <si>
    <t xml:space="preserve">arid = m+1</t>
  </si>
  <si>
    <r>
      <rPr>
        <sz val="10"/>
        <color rgb="FF000000"/>
        <rFont val="Noto Sans CJK SC"/>
        <family val="2"/>
      </rPr>
      <t xml:space="preserve">帧不足 </t>
    </r>
    <r>
      <rPr>
        <sz val="10"/>
        <color rgb="FF000000"/>
        <rFont val="Times New Roman"/>
        <family val="0"/>
        <charset val="1"/>
      </rPr>
      <t xml:space="preserve">60B</t>
    </r>
    <r>
      <rPr>
        <sz val="10"/>
        <color rgb="FF000000"/>
        <rFont val="Noto Sans CJK SC"/>
        <family val="2"/>
      </rPr>
      <t xml:space="preserve">，网卡补零；接收端按 </t>
    </r>
    <r>
      <rPr>
        <sz val="10"/>
        <color rgb="FF000000"/>
        <rFont val="Times New Roman"/>
        <family val="0"/>
        <charset val="1"/>
      </rPr>
      <t xml:space="preserve">Length=32 </t>
    </r>
    <r>
      <rPr>
        <sz val="10"/>
        <color rgb="FF000000"/>
        <rFont val="Noto Sans CJK SC"/>
        <family val="2"/>
      </rPr>
      <t xml:space="preserve">截断即可忽略</t>
    </r>
  </si>
  <si>
    <r>
      <rPr>
        <b val="true"/>
        <sz val="11"/>
        <rFont val="Noto Sans CJK SC"/>
        <family val="2"/>
      </rPr>
      <t xml:space="preserve">包长（读请求不带数据，每个 </t>
    </r>
    <r>
      <rPr>
        <b val="true"/>
        <sz val="11"/>
        <rFont val="Times New Roman"/>
        <family val="0"/>
        <charset val="1"/>
      </rPr>
      <t xml:space="preserve">16B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</si>
  <si>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4"/>
        <rFont val="Times New Roman"/>
        <family val="0"/>
        <charset val="1"/>
      </rPr>
      <t xml:space="preserve">VC3 </t>
    </r>
    <r>
      <rPr>
        <b val="true"/>
        <sz val="14"/>
        <rFont val="Noto Sans CJK SC"/>
        <family val="2"/>
      </rPr>
      <t xml:space="preserve">读响应包（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</t>
    </r>
    <r>
      <rPr>
        <b val="true"/>
        <sz val="14"/>
        <rFont val="Times New Roman"/>
        <family val="0"/>
        <charset val="1"/>
      </rPr>
      <t xml:space="preserve">rdRsp × 2</t>
    </r>
    <r>
      <rPr>
        <b val="true"/>
        <sz val="14"/>
        <rFont val="Noto Sans CJK SC"/>
        <family val="2"/>
      </rPr>
      <t xml:space="preserve">，每个 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个 </t>
    </r>
    <r>
      <rPr>
        <b val="true"/>
        <sz val="14"/>
        <rFont val="Times New Roman"/>
        <family val="0"/>
        <charset val="1"/>
      </rPr>
      <t xml:space="preserve">R </t>
    </r>
    <r>
      <rPr>
        <b val="true"/>
        <sz val="14"/>
        <rFont val="Noto Sans CJK SC"/>
        <family val="2"/>
      </rPr>
      <t xml:space="preserve">头 </t>
    </r>
    <r>
      <rPr>
        <b val="true"/>
        <sz val="14"/>
        <rFont val="Times New Roman"/>
        <family val="0"/>
        <charset val="1"/>
      </rPr>
      <t xml:space="preserve">+ 4 </t>
    </r>
    <r>
      <rPr>
        <b val="true"/>
        <sz val="14"/>
        <rFont val="Noto Sans CJK SC"/>
        <family val="2"/>
      </rPr>
      <t xml:space="preserve">拍 </t>
    </r>
    <r>
      <rPr>
        <b val="true"/>
        <sz val="14"/>
        <rFont val="Times New Roman"/>
        <family val="0"/>
        <charset val="1"/>
      </rPr>
      <t xml:space="preserve">rdata</t>
    </r>
    <r>
      <rPr>
        <b val="true"/>
        <sz val="14"/>
        <rFont val="Noto Sans CJK SC"/>
        <family val="2"/>
      </rPr>
      <t xml:space="preserve">；性能测试用例：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个读请求包（</t>
    </r>
    <r>
      <rPr>
        <b val="true"/>
        <sz val="14"/>
        <rFont val="Times New Roman"/>
        <family val="0"/>
        <charset val="1"/>
      </rPr>
      <t xml:space="preserve">2 </t>
    </r>
    <r>
      <rPr>
        <b val="true"/>
        <sz val="14"/>
        <rFont val="Noto Sans CJK SC"/>
        <family val="2"/>
      </rPr>
      <t xml:space="preserve">个读）→ 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个响应包</t>
    </r>
  </si>
  <si>
    <t xml:space="preserve">PCP=011</t>
  </si>
  <si>
    <r>
      <rPr>
        <sz val="10"/>
        <color rgb="FF000000"/>
        <rFont val="Times New Roman"/>
        <family val="0"/>
        <charset val="1"/>
      </rPr>
      <t xml:space="preserve">802.1Q tag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Times New Roman"/>
        <family val="0"/>
        <charset val="1"/>
      </rPr>
      <t xml:space="preserve">PCP = VC </t>
    </r>
    <r>
      <rPr>
        <sz val="10"/>
        <color rgb="FF000000"/>
        <rFont val="Noto Sans CJK SC"/>
        <family val="2"/>
      </rPr>
      <t xml:space="preserve">编号（本包 </t>
    </r>
    <r>
      <rPr>
        <sz val="10"/>
        <color rgb="FF000000"/>
        <rFont val="Times New Roman"/>
        <family val="0"/>
        <charset val="1"/>
      </rPr>
      <t xml:space="preserve">VC3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Times New Roman"/>
        <family val="0"/>
        <charset val="1"/>
      </rPr>
      <t xml:space="preserve">DEI=0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VID=0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priority tag</t>
    </r>
    <r>
      <rPr>
        <sz val="10"/>
        <color rgb="FF000000"/>
        <rFont val="Noto Sans CJK SC"/>
        <family val="2"/>
      </rPr>
      <t xml:space="preserve">，直连）。</t>
    </r>
    <r>
      <rPr>
        <sz val="10"/>
        <color rgb="FF000000"/>
        <rFont val="Times New Roman"/>
        <family val="0"/>
        <charset val="1"/>
      </rPr>
      <t xml:space="preserve">RX </t>
    </r>
    <r>
      <rPr>
        <sz val="10"/>
        <color rgb="FF000000"/>
        <rFont val="Noto Sans CJK SC"/>
        <family val="2"/>
      </rPr>
      <t xml:space="preserve">侧须关闭 </t>
    </r>
    <r>
      <rPr>
        <sz val="10"/>
        <color rgb="FF000000"/>
        <rFont val="Times New Roman"/>
        <family val="0"/>
        <charset val="1"/>
      </rPr>
      <t xml:space="preserve">VLAN strip</t>
    </r>
  </si>
  <si>
    <t xml:space="preserve">Length = 520</t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</si>
  <si>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520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</si>
  <si>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t xml:space="preserve">rdRsp1
(4B)</t>
  </si>
  <si>
    <t xml:space="preserve">frame_type=0100</t>
  </si>
  <si>
    <t xml:space="preserve">rid = m</t>
  </si>
  <si>
    <t xml:space="preserve">rlen=11</t>
  </si>
  <si>
    <t xml:space="preserve">ruser[12:0] = 0</t>
  </si>
  <si>
    <t xml:space="preserve">rlast=1</t>
  </si>
  <si>
    <t xml:space="preserve">RRESP=00</t>
  </si>
  <si>
    <t xml:space="preserve">rsv</t>
  </si>
  <si>
    <r>
      <rPr>
        <sz val="10"/>
        <color rgb="FF000000"/>
        <rFont val="Times New Roman"/>
        <family val="0"/>
        <charset val="1"/>
      </rPr>
      <t xml:space="preserve">rid = arid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rlen = arlen</t>
    </r>
    <r>
      <rPr>
        <sz val="10"/>
        <color rgb="FF000000"/>
        <rFont val="Noto Sans CJK SC"/>
        <family val="2"/>
      </rPr>
      <t xml:space="preserve">；整个 </t>
    </r>
    <r>
      <rPr>
        <sz val="10"/>
        <color rgb="FF000000"/>
        <rFont val="Times New Roman"/>
        <family val="0"/>
        <charset val="1"/>
      </rPr>
      <t xml:space="preserve">burst </t>
    </r>
    <r>
      <rPr>
        <sz val="10"/>
        <color rgb="FF000000"/>
        <rFont val="Noto Sans CJK SC"/>
        <family val="2"/>
      </rPr>
      <t xml:space="preserve">放在一个 </t>
    </r>
    <r>
      <rPr>
        <sz val="10"/>
        <color rgb="FF000000"/>
        <rFont val="Times New Roman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头下（不拆），故 </t>
    </r>
    <r>
      <rPr>
        <sz val="10"/>
        <color rgb="FF000000"/>
        <rFont val="Times New Roman"/>
        <family val="0"/>
        <charset val="1"/>
      </rPr>
      <t xml:space="preserve">rlast=1</t>
    </r>
    <r>
      <rPr>
        <sz val="10"/>
        <color rgb="FF000000"/>
        <rFont val="Noto Sans CJK SC"/>
        <family val="2"/>
      </rPr>
      <t xml:space="preserve">（待确认）；</t>
    </r>
    <r>
      <rPr>
        <sz val="10"/>
        <color rgb="FF000000"/>
        <rFont val="Times New Roman"/>
        <family val="0"/>
        <charset val="1"/>
      </rPr>
      <t xml:space="preserve">RRESP=OKAY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Times New Roman"/>
        <family val="0"/>
        <charset val="1"/>
      </rPr>
      <t xml:space="preserve">ruser </t>
    </r>
    <r>
      <rPr>
        <sz val="10"/>
        <color rgb="FF000000"/>
        <rFont val="Noto Sans CJK SC"/>
        <family val="2"/>
      </rPr>
      <t xml:space="preserve">填 </t>
    </r>
    <r>
      <rPr>
        <sz val="10"/>
        <color rgb="FF000000"/>
        <rFont val="Times New Roman"/>
        <family val="0"/>
        <charset val="1"/>
      </rPr>
      <t xml:space="preserve">0</t>
    </r>
  </si>
  <si>
    <t xml:space="preserve">rdata(64B)</t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</si>
  <si>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</si>
  <si>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</si>
  <si>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</si>
  <si>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30~81</t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</si>
  <si>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</si>
  <si>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</si>
  <si>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</si>
  <si>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</si>
  <si>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94~145</t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</si>
  <si>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1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</si>
  <si>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</si>
  <si>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</si>
  <si>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</si>
  <si>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158~209</t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</si>
  <si>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2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</si>
  <si>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0~3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</si>
  <si>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Times New Roman"/>
        <family val="0"/>
        <charset val="1"/>
      </rPr>
      <t xml:space="preserve">64B</t>
    </r>
    <r>
      <rPr>
        <sz val="10"/>
        <color rgb="FF000000"/>
        <rFont val="Noto Sans CJK SC"/>
        <family val="2"/>
      </rPr>
      <t xml:space="preserve">），内容不做要求，可填固定 </t>
    </r>
    <r>
      <rPr>
        <sz val="10"/>
        <color rgb="FF000000"/>
        <rFont val="Times New Roman"/>
        <family val="0"/>
        <charset val="1"/>
      </rPr>
      <t xml:space="preserve">pattern</t>
    </r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</si>
  <si>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4~7</t>
    </r>
  </si>
  <si>
    <t xml:space="preserve">222~273</t>
  </si>
  <si>
    <r>
      <rPr>
        <sz val="10"/>
        <color rgb="FF000000"/>
        <rFont val="Times New Roman"/>
        <family val="0"/>
        <charset val="1"/>
      </rPr>
      <t xml:space="preserve">rdata 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3  </t>
    </r>
    <r>
      <rPr>
        <sz val="10"/>
        <color rgb="FF000000"/>
        <rFont val="Noto Sans CJK SC"/>
        <family val="2"/>
      </rPr>
      <t xml:space="preserve">字节 </t>
    </r>
    <r>
      <rPr>
        <sz val="10"/>
        <color rgb="FF000000"/>
        <rFont val="Times New Roman"/>
        <family val="0"/>
        <charset val="1"/>
      </rPr>
      <t xml:space="preserve">60~63</t>
    </r>
  </si>
  <si>
    <t xml:space="preserve">rdRsp2
(4B)</t>
  </si>
  <si>
    <t xml:space="preserve">rid = m+1</t>
  </si>
  <si>
    <t xml:space="preserve">290~341</t>
  </si>
  <si>
    <t xml:space="preserve">354~405</t>
  </si>
  <si>
    <t xml:space="preserve">418~469</t>
  </si>
  <si>
    <t xml:space="preserve">482~533</t>
  </si>
  <si>
    <r>
      <rPr>
        <b val="true"/>
        <sz val="11"/>
        <rFont val="Noto Sans CJK SC"/>
        <family val="2"/>
      </rPr>
      <t xml:space="preserve">包长与 </t>
    </r>
    <r>
      <rPr>
        <b val="true"/>
        <sz val="11"/>
        <rFont val="Times New Roman"/>
        <family val="0"/>
        <charset val="1"/>
      </rPr>
      <t xml:space="preserve">RTT </t>
    </r>
    <r>
      <rPr>
        <b val="true"/>
        <sz val="11"/>
        <rFont val="Noto Sans CJK SC"/>
        <family val="2"/>
      </rPr>
      <t xml:space="preserve">预算（蓝色为输入；读的数据在响应方向）</t>
    </r>
  </si>
  <si>
    <r>
      <rPr>
        <b val="true"/>
        <sz val="14"/>
        <rFont val="Noto Sans CJK SC"/>
        <family val="2"/>
      </rPr>
      <t xml:space="preserve">【第二优先级】</t>
    </r>
    <r>
      <rPr>
        <b val="true"/>
        <sz val="14"/>
        <rFont val="Times New Roman"/>
        <family val="0"/>
        <charset val="1"/>
      </rPr>
      <t xml:space="preserve">VC0 </t>
    </r>
    <r>
      <rPr>
        <b val="true"/>
        <sz val="14"/>
        <rFont val="Noto Sans CJK SC"/>
        <family val="2"/>
      </rPr>
      <t xml:space="preserve">写请求包（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最大拼包：</t>
    </r>
    <r>
      <rPr>
        <b val="true"/>
        <sz val="14"/>
        <rFont val="Times New Roman"/>
        <family val="0"/>
        <charset val="1"/>
      </rPr>
      <t xml:space="preserve">write(0001) × 8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awlen=0</t>
    </r>
    <r>
      <rPr>
        <b val="true"/>
        <sz val="14"/>
        <rFont val="Noto Sans CJK SC"/>
        <family val="2"/>
      </rPr>
      <t xml:space="preserve">，每事务 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拍 </t>
    </r>
    <r>
      <rPr>
        <b val="true"/>
        <sz val="14"/>
        <rFont val="Times New Roman"/>
        <family val="0"/>
        <charset val="1"/>
      </rPr>
      <t xml:space="preserve">+ 8B wstrb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payload 704B</t>
    </r>
  </si>
  <si>
    <t xml:space="preserve">Length = 704</t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</si>
  <si>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704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</si>
  <si>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1 write
(16B)</t>
    </r>
  </si>
  <si>
    <t xml:space="preserve">frame_type=0001</t>
  </si>
  <si>
    <t xml:space="preserve">awlen=00</t>
  </si>
  <si>
    <t xml:space="preserve">wFull=?</t>
  </si>
  <si>
    <r>
      <rPr>
        <sz val="10"/>
        <color rgb="FF000000"/>
        <rFont val="Times New Roman"/>
        <family val="0"/>
        <charset val="1"/>
      </rPr>
      <t xml:space="preserve">awlen=2'b00 → 1 </t>
    </r>
    <r>
      <rPr>
        <sz val="10"/>
        <color rgb="FF000000"/>
        <rFont val="Noto Sans CJK SC"/>
        <family val="2"/>
      </rPr>
      <t xml:space="preserve">拍。</t>
    </r>
    <r>
      <rPr>
        <sz val="10"/>
        <color rgb="FF000000"/>
        <rFont val="Times New Roman"/>
        <family val="0"/>
        <charset val="1"/>
      </rPr>
      <t xml:space="preserve">write </t>
    </r>
    <r>
      <rPr>
        <sz val="10"/>
        <color rgb="FF000000"/>
        <rFont val="Noto Sans CJK SC"/>
        <family val="2"/>
      </rPr>
      <t xml:space="preserve">类型 </t>
    </r>
    <r>
      <rPr>
        <sz val="10"/>
        <color rgb="FF000000"/>
        <rFont val="Times New Roman"/>
        <family val="0"/>
        <charset val="1"/>
      </rPr>
      <t xml:space="preserve">writeFull </t>
    </r>
    <r>
      <rPr>
        <sz val="10"/>
        <color rgb="FF000000"/>
        <rFont val="Noto Sans CJK SC"/>
        <family val="2"/>
      </rPr>
      <t xml:space="preserve">推测按每拍 </t>
    </r>
    <r>
      <rPr>
        <sz val="10"/>
        <color rgb="FF000000"/>
        <rFont val="Times New Roman"/>
        <family val="0"/>
        <charset val="1"/>
      </rPr>
      <t xml:space="preserve">wstrb </t>
    </r>
    <r>
      <rPr>
        <sz val="10"/>
        <color rgb="FF000000"/>
        <rFont val="Noto Sans CJK SC"/>
        <family val="2"/>
      </rPr>
      <t xml:space="preserve">是否全 </t>
    </r>
    <r>
      <rPr>
        <sz val="10"/>
        <color rgb="FF000000"/>
        <rFont val="Times New Roman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填写，待确认</t>
    </r>
  </si>
  <si>
    <t xml:space="preserve">wstrb(8B)</t>
  </si>
  <si>
    <r>
      <rPr>
        <sz val="10"/>
        <color rgb="FF000000"/>
        <rFont val="Times New Roman"/>
        <family val="0"/>
        <charset val="1"/>
      </rPr>
      <t xml:space="preserve">wstrb[63:32]  (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0)</t>
    </r>
  </si>
  <si>
    <r>
      <rPr>
        <sz val="10"/>
        <color rgb="FF000000"/>
        <rFont val="Times New Roman"/>
        <family val="0"/>
        <charset val="1"/>
      </rPr>
      <t xml:space="preserve">write(0001) </t>
    </r>
    <r>
      <rPr>
        <sz val="10"/>
        <color rgb="FF000000"/>
        <rFont val="Noto Sans CJK SC"/>
        <family val="2"/>
      </rPr>
      <t xml:space="preserve">每拍一个 </t>
    </r>
    <r>
      <rPr>
        <sz val="10"/>
        <color rgb="FF000000"/>
        <rFont val="Times New Roman"/>
        <family val="0"/>
        <charset val="1"/>
      </rPr>
      <t xml:space="preserve">8B wstrb</t>
    </r>
    <r>
      <rPr>
        <sz val="10"/>
        <color rgb="FF000000"/>
        <rFont val="Noto Sans CJK SC"/>
        <family val="2"/>
      </rPr>
      <t xml:space="preserve">；测试中全 </t>
    </r>
    <r>
      <rPr>
        <sz val="10"/>
        <color rgb="FF000000"/>
        <rFont val="Times New Roman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即可</t>
    </r>
  </si>
  <si>
    <r>
      <rPr>
        <sz val="10"/>
        <color rgb="FF000000"/>
        <rFont val="Times New Roman"/>
        <family val="0"/>
        <charset val="1"/>
      </rPr>
      <t xml:space="preserve">wstrb[31:0]  (</t>
    </r>
    <r>
      <rPr>
        <sz val="10"/>
        <color rgb="FF000000"/>
        <rFont val="Noto Sans CJK SC"/>
        <family val="2"/>
      </rPr>
      <t xml:space="preserve">拍</t>
    </r>
    <r>
      <rPr>
        <sz val="10"/>
        <color rgb="FF000000"/>
        <rFont val="Times New Roman"/>
        <family val="0"/>
        <charset val="1"/>
      </rPr>
      <t xml:space="preserve">0)</t>
    </r>
  </si>
  <si>
    <t xml:space="preserve">50~101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</si>
  <si>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2 write
(16B)</t>
    </r>
  </si>
  <si>
    <t xml:space="preserve">138~189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</si>
  <si>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3 write
(16B)</t>
    </r>
  </si>
  <si>
    <t xml:space="preserve">awid = n+2</t>
  </si>
  <si>
    <t xml:space="preserve">226~277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</si>
  <si>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4 write
(16B)</t>
    </r>
  </si>
  <si>
    <t xml:space="preserve">awid = n+3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</si>
  <si>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5 write
(16B)</t>
    </r>
  </si>
  <si>
    <t xml:space="preserve">awid = n+4</t>
  </si>
  <si>
    <t xml:space="preserve">402~453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</si>
  <si>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6 write
(16B)</t>
    </r>
  </si>
  <si>
    <t xml:space="preserve">awid = n+5</t>
  </si>
  <si>
    <t xml:space="preserve">490~541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</si>
  <si>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7 write
(16B)</t>
    </r>
  </si>
  <si>
    <t xml:space="preserve">awid = n+6</t>
  </si>
  <si>
    <t xml:space="preserve">578~629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</si>
  <si>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8 write
(16B)</t>
    </r>
  </si>
  <si>
    <t xml:space="preserve">awid = n+7</t>
  </si>
  <si>
    <t xml:space="preserve">666~717</t>
  </si>
  <si>
    <r>
      <rPr>
        <b val="true"/>
        <sz val="14"/>
        <rFont val="Noto Sans CJK SC"/>
        <family val="2"/>
      </rPr>
      <t xml:space="preserve">【第二优先级】</t>
    </r>
    <r>
      <rPr>
        <b val="true"/>
        <sz val="14"/>
        <rFont val="Times New Roman"/>
        <family val="0"/>
        <charset val="1"/>
      </rPr>
      <t xml:space="preserve">VC1 </t>
    </r>
    <r>
      <rPr>
        <b val="true"/>
        <sz val="14"/>
        <rFont val="Noto Sans CJK SC"/>
        <family val="2"/>
      </rPr>
      <t xml:space="preserve">读请求包（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</t>
    </r>
    <r>
      <rPr>
        <b val="true"/>
        <sz val="14"/>
        <rFont val="Times New Roman"/>
        <family val="0"/>
        <charset val="1"/>
      </rPr>
      <t xml:space="preserve">read × 4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Times New Roman"/>
        <family val="0"/>
        <charset val="1"/>
      </rPr>
      <t xml:space="preserve">arlen=3</t>
    </r>
    <r>
      <rPr>
        <b val="true"/>
        <sz val="14"/>
        <rFont val="Noto Sans CJK SC"/>
        <family val="2"/>
      </rPr>
      <t xml:space="preserve">（每个读 </t>
    </r>
    <r>
      <rPr>
        <b val="true"/>
        <sz val="14"/>
        <rFont val="Times New Roman"/>
        <family val="0"/>
        <charset val="1"/>
      </rPr>
      <t xml:space="preserve">256B</t>
    </r>
    <r>
      <rPr>
        <b val="true"/>
        <sz val="14"/>
        <rFont val="Noto Sans CJK SC"/>
        <family val="2"/>
      </rPr>
      <t xml:space="preserve">）；对应 </t>
    </r>
    <r>
      <rPr>
        <b val="true"/>
        <sz val="14"/>
        <rFont val="Times New Roman"/>
        <family val="0"/>
        <charset val="1"/>
      </rPr>
      <t xml:space="preserve">2 </t>
    </r>
    <r>
      <rPr>
        <b val="true"/>
        <sz val="14"/>
        <rFont val="Noto Sans CJK SC"/>
        <family val="2"/>
      </rPr>
      <t xml:space="preserve">个 </t>
    </r>
    <r>
      <rPr>
        <b val="true"/>
        <sz val="14"/>
        <rFont val="Times New Roman"/>
        <family val="0"/>
        <charset val="1"/>
      </rPr>
      <t xml:space="preserve">2×256B </t>
    </r>
    <r>
      <rPr>
        <b val="true"/>
        <sz val="14"/>
        <rFont val="Noto Sans CJK SC"/>
        <family val="2"/>
      </rPr>
      <t xml:space="preserve">读响应包</t>
    </r>
  </si>
  <si>
    <t xml:space="preserve">Length = 64</t>
  </si>
  <si>
    <r>
      <rPr>
        <sz val="10"/>
        <color rgb="FF000000"/>
        <rFont val="Times New Roman"/>
        <family val="0"/>
        <charset val="1"/>
      </rPr>
      <t xml:space="preserve">IEEE 802.3 Length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Times New Roman"/>
        <family val="0"/>
        <charset val="1"/>
      </rPr>
      <t xml:space="preserve">1500</t>
    </r>
    <r>
      <rPr>
        <sz val="10"/>
        <color rgb="FF000000"/>
        <rFont val="Noto Sans CJK SC"/>
        <family val="2"/>
      </rPr>
      <t xml:space="preserve">，网络序）：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之后的有效 </t>
    </r>
    <r>
      <rPr>
        <sz val="10"/>
        <color rgb="FF000000"/>
        <rFont val="Times New Roman"/>
        <family val="0"/>
        <charset val="1"/>
      </rPr>
      <t xml:space="preserve">payload </t>
    </r>
    <r>
      <rPr>
        <sz val="10"/>
        <color rgb="FF000000"/>
        <rFont val="Noto Sans CJK SC"/>
        <family val="2"/>
      </rPr>
      <t xml:space="preserve">字节数，不含 </t>
    </r>
    <r>
      <rPr>
        <sz val="10"/>
        <color rgb="FF000000"/>
        <rFont val="Times New Roman"/>
        <family val="0"/>
        <charset val="1"/>
      </rPr>
      <t xml:space="preserve">padding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Times New Roman"/>
        <family val="0"/>
        <charset val="1"/>
      </rPr>
      <t xml:space="preserve">FCS</t>
    </r>
    <r>
      <rPr>
        <sz val="10"/>
        <color rgb="FF000000"/>
        <rFont val="Noto Sans CJK SC"/>
        <family val="2"/>
      </rPr>
      <t xml:space="preserve">。本包 </t>
    </r>
    <r>
      <rPr>
        <sz val="10"/>
        <color rgb="FF000000"/>
        <rFont val="Times New Roman"/>
        <family val="0"/>
        <charset val="1"/>
      </rPr>
      <t xml:space="preserve">= 64</t>
    </r>
    <r>
      <rPr>
        <sz val="10"/>
        <color rgb="FF000000"/>
        <rFont val="Noto Sans CJK SC"/>
        <family val="2"/>
      </rPr>
      <t xml:space="preserve">。接收端按 </t>
    </r>
    <r>
      <rPr>
        <sz val="10"/>
        <color rgb="FF000000"/>
        <rFont val="Times New Roman"/>
        <family val="0"/>
        <charset val="1"/>
      </rPr>
      <t xml:space="preserve">Length </t>
    </r>
    <r>
      <rPr>
        <sz val="10"/>
        <color rgb="FF000000"/>
        <rFont val="Noto Sans CJK SC"/>
        <family val="2"/>
      </rPr>
      <t xml:space="preserve">截断，忽略 </t>
    </r>
    <r>
      <rPr>
        <sz val="10"/>
        <color rgb="FF000000"/>
        <rFont val="Times New Roman"/>
        <family val="0"/>
        <charset val="1"/>
      </rPr>
      <t xml:space="preserve">padding</t>
    </r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</si>
  <si>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3 read
(16B)</t>
    </r>
  </si>
  <si>
    <t xml:space="preserve">arid = m+2</t>
  </si>
  <si>
    <r>
      <rPr>
        <b val="true"/>
        <sz val="10"/>
        <color rgb="FF000000"/>
        <rFont val="Noto Sans CJK SC"/>
        <family val="2"/>
      </rPr>
      <t xml:space="preserve">事务</t>
    </r>
    <r>
      <rPr>
        <b val="true"/>
        <sz val="10"/>
        <color rgb="FF000000"/>
        <rFont val="Times New Roman"/>
        <family val="0"/>
        <charset val="1"/>
      </rPr>
      <t xml:space="preserve">4 read
(16B)</t>
    </r>
  </si>
  <si>
    <t xml:space="preserve">arid = m+3</t>
  </si>
  <si>
    <r>
      <rPr>
        <b val="true"/>
        <sz val="14"/>
        <rFont val="Noto Sans CJK SC"/>
        <family val="2"/>
      </rPr>
      <t xml:space="preserve">【第二优先级】</t>
    </r>
    <r>
      <rPr>
        <b val="true"/>
        <sz val="14"/>
        <rFont val="Times New Roman"/>
        <family val="0"/>
        <charset val="1"/>
      </rPr>
      <t xml:space="preserve">VC3 </t>
    </r>
    <r>
      <rPr>
        <b val="true"/>
        <sz val="14"/>
        <rFont val="Noto Sans CJK SC"/>
        <family val="2"/>
      </rPr>
      <t xml:space="preserve">读响应包（</t>
    </r>
    <r>
      <rPr>
        <b val="true"/>
        <sz val="14"/>
        <rFont val="Times New Roman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）—— 最大拼包：</t>
    </r>
    <r>
      <rPr>
        <b val="true"/>
        <sz val="14"/>
        <rFont val="Times New Roman"/>
        <family val="0"/>
        <charset val="1"/>
      </rPr>
      <t xml:space="preserve">rdRsp × 8</t>
    </r>
    <r>
      <rPr>
        <b val="true"/>
        <sz val="14"/>
        <rFont val="Noto Sans CJK SC"/>
        <family val="2"/>
      </rPr>
      <t xml:space="preserve">，每个 </t>
    </r>
    <r>
      <rPr>
        <b val="true"/>
        <sz val="14"/>
        <rFont val="Times New Roman"/>
        <family val="0"/>
        <charset val="1"/>
      </rPr>
      <t xml:space="preserve">1 </t>
    </r>
    <r>
      <rPr>
        <b val="true"/>
        <sz val="14"/>
        <rFont val="Noto Sans CJK SC"/>
        <family val="2"/>
      </rPr>
      <t xml:space="preserve">拍（</t>
    </r>
    <r>
      <rPr>
        <b val="true"/>
        <sz val="14"/>
        <rFont val="Times New Roman"/>
        <family val="0"/>
        <charset val="1"/>
      </rPr>
      <t xml:space="preserve">rlen=0</t>
    </r>
    <r>
      <rPr>
        <b val="true"/>
        <sz val="14"/>
        <rFont val="Noto Sans CJK SC"/>
        <family val="2"/>
      </rPr>
      <t xml:space="preserve">），</t>
    </r>
    <r>
      <rPr>
        <b val="true"/>
        <sz val="14"/>
        <rFont val="Times New Roman"/>
        <family val="0"/>
        <charset val="1"/>
      </rPr>
      <t xml:space="preserve">payload 544B</t>
    </r>
  </si>
  <si>
    <r>
      <rPr>
        <sz val="10"/>
        <color rgb="FF000000"/>
        <rFont val="Times New Roman"/>
        <family val="0"/>
        <charset val="1"/>
      </rPr>
      <t xml:space="preserve">DMAC = </t>
    </r>
    <r>
      <rPr>
        <sz val="10"/>
        <color rgb="FF000000"/>
        <rFont val="Noto Sans CJK SC"/>
        <family val="2"/>
      </rPr>
      <t xml:space="preserve">发送端 </t>
    </r>
    <r>
      <rPr>
        <sz val="10"/>
        <color rgb="FF000000"/>
        <rFont val="Times New Roman"/>
        <family val="0"/>
        <charset val="1"/>
      </rPr>
      <t xml:space="preserve">VF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Times New Roman"/>
        <family val="0"/>
        <charset val="1"/>
      </rPr>
      <t xml:space="preserve">MAC</t>
    </r>
  </si>
  <si>
    <t xml:space="preserve">rlen=00</t>
  </si>
  <si>
    <r>
      <rPr>
        <sz val="10"/>
        <color rgb="FF000000"/>
        <rFont val="Times New Roman"/>
        <family val="0"/>
        <charset val="1"/>
      </rPr>
      <t xml:space="preserve">rlen=0 → 1 </t>
    </r>
    <r>
      <rPr>
        <sz val="10"/>
        <color rgb="FF000000"/>
        <rFont val="Noto Sans CJK SC"/>
        <family val="2"/>
      </rPr>
      <t xml:space="preserve">拍</t>
    </r>
  </si>
  <si>
    <t xml:space="preserve">98~149</t>
  </si>
  <si>
    <t xml:space="preserve">rdRsp3
(4B)</t>
  </si>
  <si>
    <t xml:space="preserve">rid = m+2</t>
  </si>
  <si>
    <t xml:space="preserve">166~217</t>
  </si>
  <si>
    <t xml:space="preserve">rdRsp4
(4B)</t>
  </si>
  <si>
    <t xml:space="preserve">rid = m+3</t>
  </si>
  <si>
    <t xml:space="preserve">rdRsp5
(4B)</t>
  </si>
  <si>
    <t xml:space="preserve">rid = m+4</t>
  </si>
  <si>
    <t xml:space="preserve">302~353</t>
  </si>
  <si>
    <t xml:space="preserve">rdRsp6
(4B)</t>
  </si>
  <si>
    <t xml:space="preserve">rid = m+5</t>
  </si>
  <si>
    <t xml:space="preserve">370~421</t>
  </si>
  <si>
    <t xml:space="preserve">rdRsp7
(4B)</t>
  </si>
  <si>
    <t xml:space="preserve">rid = m+6</t>
  </si>
  <si>
    <t xml:space="preserve">438~489</t>
  </si>
  <si>
    <t xml:space="preserve">rdRsp8
(4B)</t>
  </si>
  <si>
    <t xml:space="preserve">rid = m+7</t>
  </si>
  <si>
    <r>
      <rPr>
        <b val="true"/>
        <sz val="11"/>
        <rFont val="Noto Sans CJK SC"/>
        <family val="2"/>
      </rPr>
      <t xml:space="preserve">包长与 </t>
    </r>
    <r>
      <rPr>
        <b val="true"/>
        <sz val="11"/>
        <rFont val="Times New Roman"/>
        <family val="0"/>
        <charset val="1"/>
      </rPr>
      <t xml:space="preserve">RTT </t>
    </r>
    <r>
      <rPr>
        <b val="true"/>
        <sz val="11"/>
        <rFont val="Noto Sans CJK SC"/>
        <family val="2"/>
      </rPr>
      <t xml:space="preserve">预算（蓝色为输入）</t>
    </r>
  </si>
  <si>
    <t xml:space="preserve">#</t>
  </si>
  <si>
    <t xml:space="preserve">位置</t>
  </si>
  <si>
    <t xml:space="preserve">字段</t>
  </si>
  <si>
    <t xml:space="preserve">取值</t>
  </si>
  <si>
    <t xml:space="preserve">状态</t>
  </si>
  <si>
    <t xml:space="preserve">说明</t>
  </si>
  <si>
    <r>
      <rPr>
        <sz val="10"/>
        <rFont val="Noto Sans CJK SC"/>
        <family val="2"/>
      </rPr>
      <t xml:space="preserve">以太头 </t>
    </r>
    <r>
      <rPr>
        <sz val="10"/>
        <rFont val="Times New Roman"/>
        <family val="0"/>
        <charset val="1"/>
      </rPr>
      <t xml:space="preserve">12-13</t>
    </r>
  </si>
  <si>
    <t xml:space="preserve">TPID</t>
  </si>
  <si>
    <t xml:space="preserve">0x8100</t>
  </si>
  <si>
    <t xml:space="preserve">已确认</t>
  </si>
  <si>
    <r>
      <rPr>
        <sz val="10"/>
        <rFont val="Noto Sans CJK SC"/>
        <family val="2"/>
      </rPr>
      <t xml:space="preserve">以太头 </t>
    </r>
    <r>
      <rPr>
        <sz val="10"/>
        <rFont val="Times New Roman"/>
        <family val="0"/>
        <charset val="1"/>
      </rPr>
      <t xml:space="preserve">14-15</t>
    </r>
  </si>
  <si>
    <t xml:space="preserve">PCP / DEI / VID</t>
  </si>
  <si>
    <r>
      <rPr>
        <sz val="10"/>
        <rFont val="Times New Roman"/>
        <family val="0"/>
        <charset val="1"/>
      </rPr>
      <t xml:space="preserve">PCP=VC </t>
    </r>
    <r>
      <rPr>
        <sz val="10"/>
        <rFont val="Noto Sans CJK SC"/>
        <family val="2"/>
      </rPr>
      <t xml:space="preserve">编号；</t>
    </r>
    <r>
      <rPr>
        <sz val="10"/>
        <rFont val="Times New Roman"/>
        <family val="0"/>
        <charset val="1"/>
      </rPr>
      <t xml:space="preserve">DEI=0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VID=0</t>
    </r>
  </si>
  <si>
    <r>
      <rPr>
        <sz val="10"/>
        <rFont val="Noto Sans CJK SC"/>
        <family val="2"/>
      </rPr>
      <t xml:space="preserve">直连，无交换机；</t>
    </r>
    <r>
      <rPr>
        <sz val="10"/>
        <rFont val="Times New Roman"/>
        <family val="0"/>
        <charset val="1"/>
      </rPr>
      <t xml:space="preserve">RX </t>
    </r>
    <r>
      <rPr>
        <sz val="10"/>
        <rFont val="Noto Sans CJK SC"/>
        <family val="2"/>
      </rPr>
      <t xml:space="preserve">关闭 </t>
    </r>
    <r>
      <rPr>
        <sz val="10"/>
        <rFont val="Times New Roman"/>
        <family val="0"/>
        <charset val="1"/>
      </rPr>
      <t xml:space="preserve">VLAN strip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VF </t>
    </r>
    <r>
      <rPr>
        <sz val="10"/>
        <rFont val="Noto Sans CJK SC"/>
        <family val="2"/>
      </rPr>
      <t xml:space="preserve">用 </t>
    </r>
    <r>
      <rPr>
        <sz val="10"/>
        <rFont val="Times New Roman"/>
        <family val="0"/>
        <charset val="1"/>
      </rPr>
      <t xml:space="preserve">VGT </t>
    </r>
    <r>
      <rPr>
        <sz val="10"/>
        <rFont val="Noto Sans CJK SC"/>
        <family val="2"/>
      </rPr>
      <t xml:space="preserve">模式</t>
    </r>
  </si>
  <si>
    <r>
      <rPr>
        <sz val="10"/>
        <rFont val="Noto Sans CJK SC"/>
        <family val="2"/>
      </rPr>
      <t xml:space="preserve">以太头 </t>
    </r>
    <r>
      <rPr>
        <sz val="10"/>
        <rFont val="Times New Roman"/>
        <family val="0"/>
        <charset val="1"/>
      </rPr>
      <t xml:space="preserve">16-17</t>
    </r>
  </si>
  <si>
    <r>
      <rPr>
        <sz val="10"/>
        <rFont val="Times New Roman"/>
        <family val="0"/>
        <charset val="1"/>
      </rPr>
      <t xml:space="preserve">Length</t>
    </r>
    <r>
      <rPr>
        <sz val="10"/>
        <rFont val="Noto Sans CJK SC"/>
        <family val="2"/>
      </rPr>
      <t xml:space="preserve">（</t>
    </r>
    <r>
      <rPr>
        <sz val="10"/>
        <rFont val="Times New Roman"/>
        <family val="0"/>
        <charset val="1"/>
      </rPr>
      <t xml:space="preserve">IEEE 802.3</t>
    </r>
    <r>
      <rPr>
        <sz val="10"/>
        <rFont val="Noto Sans CJK SC"/>
        <family val="2"/>
      </rPr>
      <t xml:space="preserve">）</t>
    </r>
  </si>
  <si>
    <r>
      <rPr>
        <sz val="10"/>
        <rFont val="Times New Roman"/>
        <family val="0"/>
        <charset val="1"/>
      </rPr>
      <t xml:space="preserve">Length </t>
    </r>
    <r>
      <rPr>
        <sz val="10"/>
        <rFont val="Noto Sans CJK SC"/>
        <family val="2"/>
      </rPr>
      <t xml:space="preserve">之后的 </t>
    </r>
    <r>
      <rPr>
        <sz val="10"/>
        <rFont val="Times New Roman"/>
        <family val="0"/>
        <charset val="1"/>
      </rPr>
      <t xml:space="preserve">payload </t>
    </r>
    <r>
      <rPr>
        <sz val="10"/>
        <rFont val="Noto Sans CJK SC"/>
        <family val="2"/>
      </rPr>
      <t xml:space="preserve">字节数，不含 </t>
    </r>
    <r>
      <rPr>
        <sz val="10"/>
        <rFont val="Times New Roman"/>
        <family val="0"/>
        <charset val="1"/>
      </rPr>
      <t xml:space="preserve">padding/FCS</t>
    </r>
  </si>
  <si>
    <r>
      <rPr>
        <sz val="10"/>
        <rFont val="Noto Sans CJK SC"/>
        <family val="2"/>
      </rPr>
      <t xml:space="preserve">取代原 </t>
    </r>
    <r>
      <rPr>
        <sz val="10"/>
        <rFont val="Times New Roman"/>
        <family val="0"/>
        <charset val="1"/>
      </rPr>
      <t xml:space="preserve">EtherType </t>
    </r>
    <r>
      <rPr>
        <sz val="10"/>
        <rFont val="Noto Sans CJK SC"/>
        <family val="2"/>
      </rPr>
      <t xml:space="preserve">与 </t>
    </r>
    <r>
      <rPr>
        <sz val="10"/>
        <rFont val="Times New Roman"/>
        <family val="0"/>
        <charset val="1"/>
      </rPr>
      <t xml:space="preserve">2B </t>
    </r>
    <r>
      <rPr>
        <sz val="10"/>
        <rFont val="Noto Sans CJK SC"/>
        <family val="2"/>
      </rPr>
      <t xml:space="preserve">扩展字段（无扩展）；≤</t>
    </r>
    <r>
      <rPr>
        <sz val="10"/>
        <rFont val="Times New Roman"/>
        <family val="0"/>
        <charset val="1"/>
      </rPr>
      <t xml:space="preserve">1500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rte_flow </t>
    </r>
    <r>
      <rPr>
        <sz val="10"/>
        <rFont val="Noto Sans CJK SC"/>
        <family val="2"/>
      </rPr>
      <t xml:space="preserve">不再按类型匹配，只匹配 </t>
    </r>
    <r>
      <rPr>
        <sz val="10"/>
        <rFont val="Times New Roman"/>
        <family val="0"/>
        <charset val="1"/>
      </rPr>
      <t xml:space="preserve">DMAC+VLAN</t>
    </r>
  </si>
  <si>
    <r>
      <rPr>
        <sz val="10"/>
        <rFont val="Times New Roman"/>
        <family val="0"/>
        <charset val="1"/>
      </rPr>
      <t xml:space="preserve">AW </t>
    </r>
    <r>
      <rPr>
        <sz val="10"/>
        <rFont val="Noto Sans CJK SC"/>
        <family val="2"/>
      </rPr>
      <t xml:space="preserve">头</t>
    </r>
  </si>
  <si>
    <r>
      <rPr>
        <sz val="10"/>
        <rFont val="Times New Roman"/>
        <family val="0"/>
        <charset val="1"/>
      </rPr>
      <t xml:space="preserve">writeFull[3:0]</t>
    </r>
    <r>
      <rPr>
        <sz val="10"/>
        <rFont val="Noto Sans CJK SC"/>
        <family val="2"/>
      </rPr>
      <t xml:space="preserve">（</t>
    </r>
    <r>
      <rPr>
        <sz val="10"/>
        <rFont val="Times New Roman"/>
        <family val="0"/>
        <charset val="1"/>
      </rPr>
      <t xml:space="preserve">writefull</t>
    </r>
    <r>
      <rPr>
        <sz val="10"/>
        <rFont val="Noto Sans CJK SC"/>
        <family val="2"/>
      </rPr>
      <t xml:space="preserve">）</t>
    </r>
  </si>
  <si>
    <t xml:space="preserve">4'b1111</t>
  </si>
  <si>
    <t xml:space="preserve">awsize / arsize</t>
  </si>
  <si>
    <t xml:space="preserve">3'b110</t>
  </si>
  <si>
    <r>
      <rPr>
        <sz val="10"/>
        <rFont val="Times New Roman"/>
        <family val="0"/>
        <charset val="1"/>
      </rPr>
      <t xml:space="preserve">arsize </t>
    </r>
    <r>
      <rPr>
        <sz val="10"/>
        <rFont val="Noto Sans CJK SC"/>
        <family val="2"/>
      </rPr>
      <t xml:space="preserve">按同规则</t>
    </r>
  </si>
  <si>
    <r>
      <rPr>
        <sz val="10"/>
        <rFont val="Times New Roman"/>
        <family val="0"/>
        <charset val="1"/>
      </rPr>
      <t xml:space="preserve">writeFull[3:0]</t>
    </r>
    <r>
      <rPr>
        <sz val="10"/>
        <rFont val="Noto Sans CJK SC"/>
        <family val="2"/>
      </rPr>
      <t xml:space="preserve">（</t>
    </r>
    <r>
      <rPr>
        <sz val="10"/>
        <rFont val="Times New Roman"/>
        <family val="0"/>
        <charset val="1"/>
      </rPr>
      <t xml:space="preserve">write 0001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</si>
  <si>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按每拍 </t>
    </r>
    <r>
      <rPr>
        <sz val="10"/>
        <rFont val="Times New Roman"/>
        <family val="0"/>
        <charset val="1"/>
      </rPr>
      <t xml:space="preserve">wstrb </t>
    </r>
    <r>
      <rPr>
        <sz val="10"/>
        <rFont val="Noto Sans CJK SC"/>
        <family val="2"/>
      </rPr>
      <t xml:space="preserve">是否全 </t>
    </r>
    <r>
      <rPr>
        <sz val="10"/>
        <rFont val="Times New Roman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</si>
  <si>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测试只用 </t>
    </r>
    <r>
      <rPr>
        <sz val="10"/>
        <rFont val="Times New Roman"/>
        <family val="0"/>
        <charset val="1"/>
      </rPr>
      <t xml:space="preserve">writefull</t>
    </r>
    <r>
      <rPr>
        <sz val="10"/>
        <rFont val="Noto Sans CJK SC"/>
        <family val="2"/>
      </rPr>
      <t xml:space="preserve">，不影响实现</t>
    </r>
  </si>
  <si>
    <r>
      <rPr>
        <sz val="10"/>
        <rFont val="Times New Roman"/>
        <family val="0"/>
        <charset val="1"/>
      </rPr>
      <t xml:space="preserve">AW/AR </t>
    </r>
    <r>
      <rPr>
        <sz val="10"/>
        <rFont val="Noto Sans CJK SC"/>
        <family val="2"/>
      </rPr>
      <t xml:space="preserve">头</t>
    </r>
  </si>
  <si>
    <t xml:space="preserve">awuser/awaddr/aruser/araddr</t>
  </si>
  <si>
    <r>
      <rPr>
        <sz val="10"/>
        <rFont val="Times New Roman"/>
        <family val="0"/>
        <charset val="1"/>
      </rPr>
      <t xml:space="preserve">0 / </t>
    </r>
    <r>
      <rPr>
        <sz val="10"/>
        <rFont val="Noto Sans CJK SC"/>
        <family val="2"/>
      </rPr>
      <t xml:space="preserve">任意</t>
    </r>
  </si>
  <si>
    <t xml:space="preserve">不做要求</t>
  </si>
  <si>
    <r>
      <rPr>
        <sz val="10"/>
        <rFont val="Times New Roman"/>
        <family val="0"/>
        <charset val="1"/>
      </rPr>
      <t xml:space="preserve">B </t>
    </r>
    <r>
      <rPr>
        <sz val="10"/>
        <rFont val="Noto Sans CJK SC"/>
        <family val="2"/>
      </rPr>
      <t xml:space="preserve">头</t>
    </r>
  </si>
  <si>
    <t xml:space="preserve">bid / BRESP / buser</t>
  </si>
  <si>
    <r>
      <rPr>
        <sz val="10"/>
        <rFont val="Times New Roman"/>
        <family val="0"/>
        <charset val="1"/>
      </rPr>
      <t xml:space="preserve">bid=awid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BRESP=00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buser=0</t>
    </r>
  </si>
  <si>
    <r>
      <rPr>
        <sz val="10"/>
        <rFont val="Times New Roman"/>
        <family val="0"/>
        <charset val="1"/>
      </rPr>
      <t xml:space="preserve">type </t>
    </r>
    <r>
      <rPr>
        <sz val="10"/>
        <rFont val="Noto Sans CJK SC"/>
        <family val="2"/>
      </rPr>
      <t xml:space="preserve">固定 </t>
    </r>
    <r>
      <rPr>
        <sz val="10"/>
        <rFont val="Times New Roman"/>
        <family val="0"/>
        <charset val="1"/>
      </rPr>
      <t xml:space="preserve">0010</t>
    </r>
  </si>
  <si>
    <r>
      <rPr>
        <sz val="10"/>
        <rFont val="Times New Roman"/>
        <family val="0"/>
        <charset val="1"/>
      </rPr>
      <t xml:space="preserve">AR </t>
    </r>
    <r>
      <rPr>
        <sz val="10"/>
        <rFont val="Noto Sans CJK SC"/>
        <family val="2"/>
      </rPr>
      <t xml:space="preserve">头</t>
    </r>
  </si>
  <si>
    <t xml:space="preserve">arid / arlen / arsize</t>
  </si>
  <si>
    <r>
      <rPr>
        <sz val="10"/>
        <rFont val="Times New Roman"/>
        <family val="0"/>
        <charset val="1"/>
      </rPr>
      <t xml:space="preserve">arid </t>
    </r>
    <r>
      <rPr>
        <sz val="10"/>
        <rFont val="Noto Sans CJK SC"/>
        <family val="2"/>
      </rPr>
      <t xml:space="preserve">循环；</t>
    </r>
    <r>
      <rPr>
        <sz val="10"/>
        <rFont val="Times New Roman"/>
        <family val="0"/>
        <charset val="1"/>
      </rPr>
      <t xml:space="preserve">arlen=3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arsize=110</t>
    </r>
  </si>
  <si>
    <r>
      <rPr>
        <sz val="10"/>
        <rFont val="Times New Roman"/>
        <family val="0"/>
        <charset val="1"/>
      </rPr>
      <t xml:space="preserve">aruser/araddr </t>
    </r>
    <r>
      <rPr>
        <sz val="10"/>
        <rFont val="Noto Sans CJK SC"/>
        <family val="2"/>
      </rPr>
      <t xml:space="preserve">不做要求</t>
    </r>
  </si>
  <si>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头</t>
    </r>
  </si>
  <si>
    <t xml:space="preserve">rid / rlen</t>
  </si>
  <si>
    <r>
      <rPr>
        <sz val="10"/>
        <rFont val="Times New Roman"/>
        <family val="0"/>
        <charset val="1"/>
      </rPr>
      <t xml:space="preserve">rid=arid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rlen=arlen</t>
    </r>
  </si>
  <si>
    <r>
      <rPr>
        <sz val="10"/>
        <rFont val="Noto Sans CJK SC"/>
        <family val="2"/>
      </rPr>
      <t xml:space="preserve">一个 </t>
    </r>
    <r>
      <rPr>
        <sz val="10"/>
        <rFont val="Times New Roman"/>
        <family val="0"/>
        <charset val="1"/>
      </rPr>
      <t xml:space="preserve">burst = 1 </t>
    </r>
    <r>
      <rPr>
        <sz val="10"/>
        <rFont val="Noto Sans CJK SC"/>
        <family val="2"/>
      </rPr>
      <t xml:space="preserve">个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头 </t>
    </r>
    <r>
      <rPr>
        <sz val="10"/>
        <rFont val="Times New Roman"/>
        <family val="0"/>
        <charset val="1"/>
      </rPr>
      <t xml:space="preserve">+ </t>
    </r>
    <r>
      <rPr>
        <sz val="10"/>
        <rFont val="Noto Sans CJK SC"/>
        <family val="2"/>
      </rPr>
      <t xml:space="preserve">多拍 </t>
    </r>
    <r>
      <rPr>
        <sz val="10"/>
        <rFont val="Times New Roman"/>
        <family val="0"/>
        <charset val="1"/>
      </rPr>
      <t xml:space="preserve">rdata</t>
    </r>
    <r>
      <rPr>
        <sz val="10"/>
        <rFont val="Noto Sans CJK SC"/>
        <family val="2"/>
      </rPr>
      <t xml:space="preserve">，不拆</t>
    </r>
  </si>
  <si>
    <t xml:space="preserve">rlast</t>
  </si>
  <si>
    <t xml:space="preserve">1</t>
  </si>
  <si>
    <r>
      <rPr>
        <sz val="10"/>
        <rFont val="Times New Roman"/>
        <family val="0"/>
        <charset val="1"/>
      </rPr>
      <t xml:space="preserve">burst </t>
    </r>
    <r>
      <rPr>
        <sz val="10"/>
        <rFont val="Noto Sans CJK SC"/>
        <family val="2"/>
      </rPr>
      <t xml:space="preserve">不拆包，推测每个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头都置 </t>
    </r>
    <r>
      <rPr>
        <sz val="10"/>
        <rFont val="Times New Roman"/>
        <family val="0"/>
        <charset val="1"/>
      </rPr>
      <t xml:space="preserve">1</t>
    </r>
  </si>
  <si>
    <t xml:space="preserve">RRESP / ruser</t>
  </si>
  <si>
    <r>
      <rPr>
        <sz val="10"/>
        <rFont val="Times New Roman"/>
        <family val="0"/>
        <charset val="1"/>
      </rPr>
      <t xml:space="preserve">RRESP=00</t>
    </r>
    <r>
      <rPr>
        <sz val="10"/>
        <rFont val="Noto Sans CJK SC"/>
        <family val="2"/>
      </rPr>
      <t xml:space="preserve">；</t>
    </r>
    <r>
      <rPr>
        <sz val="10"/>
        <rFont val="Times New Roman"/>
        <family val="0"/>
        <charset val="1"/>
      </rPr>
      <t xml:space="preserve">ruser=0</t>
    </r>
  </si>
  <si>
    <r>
      <rPr>
        <sz val="10"/>
        <rFont val="Times New Roman"/>
        <family val="0"/>
        <charset val="1"/>
      </rPr>
      <t xml:space="preserve">type </t>
    </r>
    <r>
      <rPr>
        <sz val="10"/>
        <rFont val="Noto Sans CJK SC"/>
        <family val="2"/>
      </rPr>
      <t xml:space="preserve">固定 </t>
    </r>
    <r>
      <rPr>
        <sz val="10"/>
        <rFont val="Times New Roman"/>
        <family val="0"/>
        <charset val="1"/>
      </rPr>
      <t xml:space="preserve">0100</t>
    </r>
  </si>
  <si>
    <t xml:space="preserve">读映射</t>
  </si>
  <si>
    <t xml:space="preserve">请求包 → 响应包</t>
  </si>
  <si>
    <r>
      <rPr>
        <sz val="10"/>
        <rFont val="Times New Roman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Times New Roman"/>
        <family val="0"/>
        <charset val="1"/>
      </rPr>
      <t xml:space="preserve">AR </t>
    </r>
    <r>
      <rPr>
        <sz val="10"/>
        <rFont val="Noto Sans CJK SC"/>
        <family val="2"/>
      </rPr>
      <t xml:space="preserve">包（≤</t>
    </r>
    <r>
      <rPr>
        <sz val="10"/>
        <rFont val="Times New Roman"/>
        <family val="0"/>
        <charset val="1"/>
      </rPr>
      <t xml:space="preserve">4 </t>
    </r>
    <r>
      <rPr>
        <sz val="10"/>
        <rFont val="Noto Sans CJK SC"/>
        <family val="2"/>
      </rPr>
      <t xml:space="preserve">读）→ ⌈拍数</t>
    </r>
    <r>
      <rPr>
        <sz val="10"/>
        <rFont val="Times New Roman"/>
        <family val="0"/>
        <charset val="1"/>
      </rPr>
      <t xml:space="preserve">/8⌉ </t>
    </r>
    <r>
      <rPr>
        <sz val="10"/>
        <rFont val="Noto Sans CJK SC"/>
        <family val="2"/>
      </rPr>
      <t xml:space="preserve">个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包；</t>
    </r>
    <r>
      <rPr>
        <sz val="10"/>
        <rFont val="Times New Roman"/>
        <family val="0"/>
        <charset val="1"/>
      </rPr>
      <t xml:space="preserve">arlen=3 </t>
    </r>
    <r>
      <rPr>
        <sz val="10"/>
        <rFont val="Noto Sans CJK SC"/>
        <family val="2"/>
      </rPr>
      <t xml:space="preserve">时每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包 </t>
    </r>
    <r>
      <rPr>
        <sz val="10"/>
        <rFont val="Times New Roman"/>
        <family val="0"/>
        <charset val="1"/>
      </rPr>
      <t xml:space="preserve">2 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</si>
  <si>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性能测试：</t>
    </r>
    <r>
      <rPr>
        <sz val="10"/>
        <rFont val="Times New Roman"/>
        <family val="0"/>
        <charset val="1"/>
      </rPr>
      <t xml:space="preserve">AR </t>
    </r>
    <r>
      <rPr>
        <sz val="10"/>
        <rFont val="Noto Sans CJK SC"/>
        <family val="2"/>
      </rPr>
      <t xml:space="preserve">包 </t>
    </r>
    <r>
      <rPr>
        <sz val="10"/>
        <rFont val="Times New Roman"/>
        <family val="0"/>
        <charset val="1"/>
      </rPr>
      <t xml:space="preserve">2 </t>
    </r>
    <r>
      <rPr>
        <sz val="10"/>
        <rFont val="Noto Sans CJK SC"/>
        <family val="2"/>
      </rPr>
      <t xml:space="preserve">个读 → </t>
    </r>
    <r>
      <rPr>
        <sz val="10"/>
        <rFont val="Times New Roman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包（</t>
    </r>
    <r>
      <rPr>
        <sz val="10"/>
        <rFont val="Times New Roman"/>
        <family val="0"/>
        <charset val="1"/>
      </rPr>
      <t xml:space="preserve">1:1</t>
    </r>
    <r>
      <rPr>
        <sz val="10"/>
        <rFont val="Noto Sans CJK SC"/>
        <family val="2"/>
      </rPr>
      <t xml:space="preserve">）；反射端仍须支持 </t>
    </r>
    <r>
      <rPr>
        <sz val="10"/>
        <rFont val="Times New Roman"/>
        <family val="0"/>
        <charset val="1"/>
      </rPr>
      <t xml:space="preserve">4 </t>
    </r>
    <r>
      <rPr>
        <sz val="10"/>
        <rFont val="Noto Sans CJK SC"/>
        <family val="2"/>
      </rPr>
      <t xml:space="preserve">读 → </t>
    </r>
    <r>
      <rPr>
        <sz val="10"/>
        <rFont val="Times New Roman"/>
        <family val="0"/>
        <charset val="1"/>
      </rPr>
      <t xml:space="preserve">2 </t>
    </r>
    <r>
      <rPr>
        <sz val="10"/>
        <rFont val="Noto Sans CJK SC"/>
        <family val="2"/>
      </rPr>
      <t xml:space="preserve">个 </t>
    </r>
    <r>
      <rPr>
        <sz val="10"/>
        <rFont val="Times New Roman"/>
        <family val="0"/>
        <charset val="1"/>
      </rPr>
      <t xml:space="preserve">R </t>
    </r>
    <r>
      <rPr>
        <sz val="10"/>
        <rFont val="Noto Sans CJK SC"/>
        <family val="2"/>
      </rPr>
      <t xml:space="preserve">包</t>
    </r>
  </si>
  <si>
    <t xml:space="preserve">全局</t>
  </si>
  <si>
    <t xml:space="preserve">拼包规则</t>
  </si>
  <si>
    <r>
      <rPr>
        <sz val="10"/>
        <rFont val="Noto Sans CJK SC"/>
        <family val="2"/>
      </rPr>
      <t xml:space="preserve">数据 ≤ </t>
    </r>
    <r>
      <rPr>
        <sz val="10"/>
        <rFont val="Times New Roman"/>
        <family val="0"/>
        <charset val="1"/>
      </rPr>
      <t xml:space="preserve">8 </t>
    </r>
    <r>
      <rPr>
        <sz val="10"/>
        <rFont val="Noto Sans CJK SC"/>
        <family val="2"/>
      </rPr>
      <t xml:space="preserve">拍，</t>
    </r>
    <r>
      <rPr>
        <sz val="10"/>
        <rFont val="Times New Roman"/>
        <family val="0"/>
        <charset val="1"/>
      </rPr>
      <t xml:space="preserve">burst </t>
    </r>
    <r>
      <rPr>
        <sz val="10"/>
        <rFont val="Noto Sans CJK SC"/>
        <family val="2"/>
      </rPr>
      <t xml:space="preserve">不拆包；</t>
    </r>
    <r>
      <rPr>
        <sz val="10"/>
        <rFont val="Times New Roman"/>
        <family val="0"/>
        <charset val="1"/>
      </rPr>
      <t xml:space="preserve">VC1 ≤ 4 </t>
    </r>
    <r>
      <rPr>
        <sz val="10"/>
        <rFont val="Noto Sans CJK SC"/>
        <family val="2"/>
      </rPr>
      <t xml:space="preserve">请求；</t>
    </r>
    <r>
      <rPr>
        <sz val="10"/>
        <rFont val="Times New Roman"/>
        <family val="0"/>
        <charset val="1"/>
      </rPr>
      <t xml:space="preserve">VC2 ≤ 16 </t>
    </r>
    <r>
      <rPr>
        <sz val="10"/>
        <rFont val="Noto Sans CJK SC"/>
        <family val="2"/>
      </rPr>
      <t xml:space="preserve">响应</t>
    </r>
  </si>
  <si>
    <t xml:space="preserve">字节序</t>
  </si>
  <si>
    <r>
      <rPr>
        <sz val="10"/>
        <rFont val="Noto Sans CJK SC"/>
        <family val="2"/>
      </rPr>
      <t xml:space="preserve">每 </t>
    </r>
    <r>
      <rPr>
        <sz val="10"/>
        <rFont val="Times New Roman"/>
        <family val="0"/>
        <charset val="1"/>
      </rPr>
      <t xml:space="preserve">32bit </t>
    </r>
    <r>
      <rPr>
        <sz val="10"/>
        <rFont val="Noto Sans CJK SC"/>
        <family val="2"/>
      </rPr>
      <t xml:space="preserve">大端（网络序）</t>
    </r>
  </si>
  <si>
    <t xml:space="preserve">确认与本表约定一致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</si>
</sst>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4"/>
      <name val="Noto Sans CJK SC"/>
      <family val="2"/>
    </font>
    <font>
      <b val="true"/>
      <sz val="10"/>
      <color rgb="FF000000"/>
      <name val="Noto Sans CJK SC"/>
      <family val="2"/>
    </font>
    <font>
      <sz val="10"/>
      <name val="Noto Sans CJK SC"/>
      <family val="2"/>
    </font>
    <font>
      <sz val="10"/>
      <name val="Times New Roman"/>
      <family val="0"/>
      <charset val="1"/>
    </font>
    <font>
      <b val="true"/>
      <sz val="10"/>
      <color rgb="FF9C0006"/>
      <name val="Noto Sans CJK SC"/>
      <family val="2"/>
    </font>
    <font>
      <i val="true"/>
      <sz val="10"/>
      <name val="Noto Sans CJK SC"/>
      <family val="2"/>
    </font>
    <font>
      <i val="true"/>
      <sz val="1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0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0"/>
      <color rgb="FF0000FF"/>
      <name val="Times New Roman"/>
      <family val="0"/>
      <charset val="1"/>
    </font>
    <font>
      <i val="true"/>
      <sz val="9"/>
      <name val="Noto Sans CJK SC"/>
      <family val="2"/>
    </font>
    <font>
      <i val="true"/>
      <sz val="9"/>
      <name val="Times New Roman"/>
      <family val="0"/>
      <charset val="1"/>
    </font>
    <font>
      <sz val="10"/>
      <color rgb="FF9C0006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7CE"/>
        <bgColor rgb="FFF8CBAD"/>
      </patternFill>
    </fill>
    <fill>
      <patternFill patternType="solid">
        <fgColor rgb="FFD9D9D9"/>
        <bgColor rgb="FFE4DFEC"/>
      </patternFill>
    </fill>
    <fill>
      <patternFill patternType="solid">
        <fgColor rgb="FFF2F2F2"/>
        <bgColor rgb="FFDDEBF7"/>
      </patternFill>
    </fill>
    <fill>
      <patternFill patternType="solid">
        <fgColor rgb="FFE4DFE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C7CE"/>
      </patternFill>
    </fill>
    <fill>
      <patternFill patternType="solid">
        <fgColor rgb="FFC6E0B4"/>
        <bgColor rgb="FFC6EFCE"/>
      </patternFill>
    </fill>
    <fill>
      <patternFill patternType="solid">
        <fgColor rgb="FFDDEBF7"/>
        <bgColor rgb="FFE4DFEC"/>
      </patternFill>
    </fill>
    <fill>
      <patternFill patternType="solid">
        <fgColor rgb="FFC6EFCE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4DFEC"/>
      <rgbColor rgb="FFC6E0B4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1" t="s">
        <v>0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8" t="n">
        <v>31</v>
      </c>
      <c r="E8" s="8" t="n">
        <v>30</v>
      </c>
      <c r="F8" s="8" t="n">
        <v>29</v>
      </c>
      <c r="G8" s="8" t="n">
        <v>28</v>
      </c>
      <c r="H8" s="8" t="n">
        <v>27</v>
      </c>
      <c r="I8" s="8" t="n">
        <v>26</v>
      </c>
      <c r="J8" s="8" t="n">
        <v>25</v>
      </c>
      <c r="K8" s="8" t="n">
        <v>24</v>
      </c>
      <c r="L8" s="8" t="n">
        <v>23</v>
      </c>
      <c r="M8" s="8" t="n">
        <v>22</v>
      </c>
      <c r="N8" s="8" t="n">
        <v>21</v>
      </c>
      <c r="O8" s="8" t="n">
        <v>20</v>
      </c>
      <c r="P8" s="8" t="n">
        <v>19</v>
      </c>
      <c r="Q8" s="8" t="n">
        <v>18</v>
      </c>
      <c r="R8" s="8" t="n">
        <v>17</v>
      </c>
      <c r="S8" s="8" t="n">
        <v>16</v>
      </c>
      <c r="T8" s="8" t="n">
        <v>15</v>
      </c>
      <c r="U8" s="8" t="n">
        <v>14</v>
      </c>
      <c r="V8" s="8" t="n">
        <v>13</v>
      </c>
      <c r="W8" s="8" t="n">
        <v>12</v>
      </c>
      <c r="X8" s="8" t="n">
        <v>11</v>
      </c>
      <c r="Y8" s="8" t="n">
        <v>10</v>
      </c>
      <c r="Z8" s="8" t="n">
        <v>9</v>
      </c>
      <c r="AA8" s="8" t="n">
        <v>8</v>
      </c>
      <c r="AB8" s="8" t="n">
        <v>7</v>
      </c>
      <c r="AC8" s="8" t="n">
        <v>6</v>
      </c>
      <c r="AD8" s="8" t="n">
        <v>5</v>
      </c>
      <c r="AE8" s="8" t="n">
        <v>4</v>
      </c>
      <c r="AF8" s="8" t="n">
        <v>3</v>
      </c>
      <c r="AG8" s="8" t="n">
        <v>2</v>
      </c>
      <c r="AH8" s="8" t="n">
        <v>1</v>
      </c>
      <c r="AI8" s="8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13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16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19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22</v>
      </c>
    </row>
    <row r="13" customFormat="false" ht="51.75" hidden="false" customHeight="true" outlineLevel="0" collapsed="false">
      <c r="B13" s="7"/>
      <c r="C13" s="7"/>
      <c r="D13" s="9" t="s">
        <v>23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25</v>
      </c>
    </row>
    <row r="14" customFormat="false" ht="25.5" hidden="false" customHeight="true" outlineLevel="0" collapsed="false">
      <c r="B14" s="7" t="s">
        <v>26</v>
      </c>
      <c r="C14" s="7"/>
      <c r="D14" s="13" t="s">
        <v>27</v>
      </c>
      <c r="E14" s="13"/>
      <c r="F14" s="13"/>
      <c r="G14" s="13"/>
      <c r="H14" s="14" t="s">
        <v>28</v>
      </c>
      <c r="I14" s="14"/>
      <c r="J14" s="14"/>
      <c r="K14" s="14"/>
      <c r="L14" s="14"/>
      <c r="M14" s="14"/>
      <c r="N14" s="14"/>
      <c r="O14" s="14"/>
      <c r="P14" s="14"/>
      <c r="Q14" s="10" t="s">
        <v>29</v>
      </c>
      <c r="R14" s="10"/>
      <c r="S14" s="10" t="s">
        <v>30</v>
      </c>
      <c r="T14" s="10"/>
      <c r="U14" s="10"/>
      <c r="V14" s="10"/>
      <c r="W14" s="15" t="s">
        <v>31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0" t="n">
        <v>18</v>
      </c>
      <c r="AK14" s="11" t="s">
        <v>32</v>
      </c>
    </row>
    <row r="15" customFormat="false" ht="19.5" hidden="false" customHeight="true" outlineLevel="0" collapsed="false">
      <c r="B15" s="7"/>
      <c r="C15" s="7"/>
      <c r="D15" s="15" t="s">
        <v>33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0" t="n">
        <v>22</v>
      </c>
      <c r="AK15" s="11" t="s">
        <v>34</v>
      </c>
    </row>
    <row r="16" customFormat="false" ht="19.5" hidden="false" customHeight="true" outlineLevel="0" collapsed="false">
      <c r="B16" s="7"/>
      <c r="C16" s="7"/>
      <c r="D16" s="15" t="s">
        <v>35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6" t="s">
        <v>36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0" t="n">
        <v>26</v>
      </c>
      <c r="AK16" s="11" t="s">
        <v>37</v>
      </c>
    </row>
    <row r="17" customFormat="false" ht="19.5" hidden="false" customHeight="true" outlineLevel="0" collapsed="false">
      <c r="B17" s="7"/>
      <c r="C17" s="7"/>
      <c r="D17" s="16" t="s">
        <v>38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0" t="s">
        <v>39</v>
      </c>
      <c r="AH17" s="10"/>
      <c r="AI17" s="10"/>
      <c r="AJ17" s="10" t="n">
        <v>30</v>
      </c>
      <c r="AK17" s="11" t="s">
        <v>40</v>
      </c>
    </row>
    <row r="18" customFormat="false" ht="19.5" hidden="false" customHeight="true" outlineLevel="0" collapsed="false">
      <c r="B18" s="8" t="s">
        <v>41</v>
      </c>
      <c r="C18" s="8"/>
      <c r="D18" s="17" t="s">
        <v>42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0" t="n">
        <v>34</v>
      </c>
      <c r="AK18" s="11" t="s">
        <v>43</v>
      </c>
    </row>
    <row r="19" customFormat="false" ht="19.5" hidden="false" customHeight="true" outlineLevel="0" collapsed="false">
      <c r="B19" s="8"/>
      <c r="C19" s="8"/>
      <c r="D19" s="17" t="s">
        <v>44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0" t="n">
        <v>38</v>
      </c>
      <c r="AK19" s="11"/>
    </row>
    <row r="20" customFormat="false" ht="19.5" hidden="false" customHeight="true" outlineLevel="0" collapsed="false">
      <c r="B20" s="8"/>
      <c r="C20" s="8"/>
      <c r="D20" s="17" t="s">
        <v>45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0" t="s">
        <v>46</v>
      </c>
      <c r="AK20" s="11"/>
    </row>
    <row r="21" customFormat="false" ht="19.5" hidden="false" customHeight="true" outlineLevel="0" collapsed="false">
      <c r="B21" s="8"/>
      <c r="C21" s="8"/>
      <c r="D21" s="17" t="s">
        <v>47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0" t="n">
        <v>94</v>
      </c>
      <c r="AK21" s="11"/>
    </row>
    <row r="22" customFormat="false" ht="19.5" hidden="false" customHeight="true" outlineLevel="0" collapsed="false">
      <c r="B22" s="8" t="s">
        <v>41</v>
      </c>
      <c r="C22" s="8"/>
      <c r="D22" s="17" t="s">
        <v>48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0" t="n">
        <v>98</v>
      </c>
      <c r="AK22" s="11" t="s">
        <v>49</v>
      </c>
    </row>
    <row r="23" customFormat="false" ht="19.5" hidden="false" customHeight="true" outlineLevel="0" collapsed="false">
      <c r="B23" s="8"/>
      <c r="C23" s="8"/>
      <c r="D23" s="17" t="s">
        <v>50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0" t="n">
        <v>102</v>
      </c>
      <c r="AK23" s="11"/>
    </row>
    <row r="24" customFormat="false" ht="19.5" hidden="false" customHeight="true" outlineLevel="0" collapsed="false">
      <c r="B24" s="8"/>
      <c r="C24" s="8"/>
      <c r="D24" s="17" t="s">
        <v>45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0" t="s">
        <v>51</v>
      </c>
      <c r="AK24" s="11"/>
    </row>
    <row r="25" customFormat="false" ht="19.5" hidden="false" customHeight="true" outlineLevel="0" collapsed="false">
      <c r="B25" s="8"/>
      <c r="C25" s="8"/>
      <c r="D25" s="17" t="s">
        <v>52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0" t="n">
        <v>158</v>
      </c>
      <c r="AK25" s="11"/>
    </row>
    <row r="26" customFormat="false" ht="19.5" hidden="false" customHeight="true" outlineLevel="0" collapsed="false">
      <c r="B26" s="8" t="s">
        <v>41</v>
      </c>
      <c r="C26" s="8"/>
      <c r="D26" s="17" t="s">
        <v>53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0" t="n">
        <v>162</v>
      </c>
      <c r="AK26" s="11" t="s">
        <v>54</v>
      </c>
    </row>
    <row r="27" customFormat="false" ht="19.5" hidden="false" customHeight="true" outlineLevel="0" collapsed="false">
      <c r="B27" s="8"/>
      <c r="C27" s="8"/>
      <c r="D27" s="17" t="s">
        <v>55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0" t="n">
        <v>166</v>
      </c>
      <c r="AK27" s="11"/>
    </row>
    <row r="28" customFormat="false" ht="19.5" hidden="false" customHeight="true" outlineLevel="0" collapsed="false">
      <c r="B28" s="8"/>
      <c r="C28" s="8"/>
      <c r="D28" s="17" t="s">
        <v>45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0" t="s">
        <v>56</v>
      </c>
      <c r="AK28" s="11"/>
    </row>
    <row r="29" customFormat="false" ht="19.5" hidden="false" customHeight="true" outlineLevel="0" collapsed="false">
      <c r="B29" s="8"/>
      <c r="C29" s="8"/>
      <c r="D29" s="17" t="s">
        <v>57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0" t="n">
        <v>222</v>
      </c>
      <c r="AK29" s="11"/>
    </row>
    <row r="30" customFormat="false" ht="19.5" hidden="false" customHeight="true" outlineLevel="0" collapsed="false">
      <c r="B30" s="8" t="s">
        <v>41</v>
      </c>
      <c r="C30" s="8"/>
      <c r="D30" s="17" t="s">
        <v>58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0" t="n">
        <v>226</v>
      </c>
      <c r="AK30" s="11" t="s">
        <v>59</v>
      </c>
    </row>
    <row r="31" customFormat="false" ht="19.5" hidden="false" customHeight="true" outlineLevel="0" collapsed="false">
      <c r="B31" s="8"/>
      <c r="C31" s="8"/>
      <c r="D31" s="17" t="s">
        <v>60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0" t="n">
        <v>230</v>
      </c>
      <c r="AK31" s="11"/>
    </row>
    <row r="32" customFormat="false" ht="19.5" hidden="false" customHeight="true" outlineLevel="0" collapsed="false">
      <c r="B32" s="8"/>
      <c r="C32" s="8"/>
      <c r="D32" s="17" t="s">
        <v>45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0" t="s">
        <v>61</v>
      </c>
      <c r="AK32" s="11"/>
    </row>
    <row r="33" customFormat="false" ht="19.5" hidden="false" customHeight="true" outlineLevel="0" collapsed="false">
      <c r="B33" s="8"/>
      <c r="C33" s="8"/>
      <c r="D33" s="17" t="s">
        <v>62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0" t="n">
        <v>286</v>
      </c>
      <c r="AK33" s="11"/>
    </row>
    <row r="34" customFormat="false" ht="25.5" hidden="false" customHeight="true" outlineLevel="0" collapsed="false">
      <c r="B34" s="7" t="s">
        <v>63</v>
      </c>
      <c r="C34" s="7"/>
      <c r="D34" s="13" t="s">
        <v>27</v>
      </c>
      <c r="E34" s="13"/>
      <c r="F34" s="13"/>
      <c r="G34" s="13"/>
      <c r="H34" s="14" t="s">
        <v>64</v>
      </c>
      <c r="I34" s="14"/>
      <c r="J34" s="14"/>
      <c r="K34" s="14"/>
      <c r="L34" s="14"/>
      <c r="M34" s="14"/>
      <c r="N34" s="14"/>
      <c r="O34" s="14"/>
      <c r="P34" s="14"/>
      <c r="Q34" s="10" t="s">
        <v>29</v>
      </c>
      <c r="R34" s="10"/>
      <c r="S34" s="10" t="s">
        <v>30</v>
      </c>
      <c r="T34" s="10"/>
      <c r="U34" s="10"/>
      <c r="V34" s="10"/>
      <c r="W34" s="15" t="s">
        <v>31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0" t="n">
        <v>290</v>
      </c>
      <c r="AK34" s="11" t="s">
        <v>32</v>
      </c>
    </row>
    <row r="35" customFormat="false" ht="19.5" hidden="false" customHeight="true" outlineLevel="0" collapsed="false">
      <c r="B35" s="7"/>
      <c r="C35" s="7"/>
      <c r="D35" s="15" t="s">
        <v>33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0" t="n">
        <v>294</v>
      </c>
      <c r="AK35" s="11" t="s">
        <v>34</v>
      </c>
    </row>
    <row r="36" customFormat="false" ht="19.5" hidden="false" customHeight="true" outlineLevel="0" collapsed="false">
      <c r="B36" s="7"/>
      <c r="C36" s="7"/>
      <c r="D36" s="15" t="s">
        <v>35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 t="s">
        <v>36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0" t="n">
        <v>298</v>
      </c>
      <c r="AK36" s="11" t="s">
        <v>37</v>
      </c>
    </row>
    <row r="37" customFormat="false" ht="19.5" hidden="false" customHeight="true" outlineLevel="0" collapsed="false">
      <c r="B37" s="7"/>
      <c r="C37" s="7"/>
      <c r="D37" s="16" t="s">
        <v>38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0" t="s">
        <v>39</v>
      </c>
      <c r="AH37" s="10"/>
      <c r="AI37" s="10"/>
      <c r="AJ37" s="10" t="n">
        <v>302</v>
      </c>
      <c r="AK37" s="11" t="s">
        <v>40</v>
      </c>
    </row>
    <row r="38" customFormat="false" ht="19.5" hidden="false" customHeight="true" outlineLevel="0" collapsed="false">
      <c r="B38" s="8" t="s">
        <v>41</v>
      </c>
      <c r="C38" s="8"/>
      <c r="D38" s="17" t="s">
        <v>42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0" t="n">
        <v>306</v>
      </c>
      <c r="AK38" s="11" t="s">
        <v>43</v>
      </c>
    </row>
    <row r="39" customFormat="false" ht="19.5" hidden="false" customHeight="true" outlineLevel="0" collapsed="false">
      <c r="B39" s="8"/>
      <c r="C39" s="8"/>
      <c r="D39" s="17" t="s">
        <v>44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0" t="n">
        <v>310</v>
      </c>
      <c r="AK39" s="11"/>
    </row>
    <row r="40" customFormat="false" ht="19.5" hidden="false" customHeight="true" outlineLevel="0" collapsed="false">
      <c r="B40" s="8"/>
      <c r="C40" s="8"/>
      <c r="D40" s="17" t="s">
        <v>45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0" t="s">
        <v>65</v>
      </c>
      <c r="AK40" s="11"/>
    </row>
    <row r="41" customFormat="false" ht="19.5" hidden="false" customHeight="true" outlineLevel="0" collapsed="false">
      <c r="B41" s="8"/>
      <c r="C41" s="8"/>
      <c r="D41" s="17" t="s">
        <v>47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0" t="n">
        <v>366</v>
      </c>
      <c r="AK41" s="11"/>
    </row>
    <row r="42" customFormat="false" ht="19.5" hidden="false" customHeight="true" outlineLevel="0" collapsed="false">
      <c r="B42" s="8" t="s">
        <v>41</v>
      </c>
      <c r="C42" s="8"/>
      <c r="D42" s="17" t="s">
        <v>48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0" t="n">
        <v>370</v>
      </c>
      <c r="AK42" s="11" t="s">
        <v>49</v>
      </c>
    </row>
    <row r="43" customFormat="false" ht="19.5" hidden="false" customHeight="true" outlineLevel="0" collapsed="false">
      <c r="B43" s="8"/>
      <c r="C43" s="8"/>
      <c r="D43" s="17" t="s">
        <v>50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0" t="n">
        <v>374</v>
      </c>
      <c r="AK43" s="11"/>
    </row>
    <row r="44" customFormat="false" ht="19.5" hidden="false" customHeight="true" outlineLevel="0" collapsed="false">
      <c r="B44" s="8"/>
      <c r="C44" s="8"/>
      <c r="D44" s="17" t="s">
        <v>45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0" t="s">
        <v>66</v>
      </c>
      <c r="AK44" s="11"/>
    </row>
    <row r="45" customFormat="false" ht="19.5" hidden="false" customHeight="true" outlineLevel="0" collapsed="false">
      <c r="B45" s="8"/>
      <c r="C45" s="8"/>
      <c r="D45" s="17" t="s">
        <v>52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0" t="n">
        <v>430</v>
      </c>
      <c r="AK45" s="11"/>
    </row>
    <row r="46" customFormat="false" ht="19.5" hidden="false" customHeight="true" outlineLevel="0" collapsed="false">
      <c r="B46" s="8" t="s">
        <v>41</v>
      </c>
      <c r="C46" s="8"/>
      <c r="D46" s="17" t="s">
        <v>53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0" t="n">
        <v>434</v>
      </c>
      <c r="AK46" s="11" t="s">
        <v>54</v>
      </c>
    </row>
    <row r="47" customFormat="false" ht="19.5" hidden="false" customHeight="true" outlineLevel="0" collapsed="false">
      <c r="B47" s="8"/>
      <c r="C47" s="8"/>
      <c r="D47" s="17" t="s">
        <v>55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0" t="n">
        <v>438</v>
      </c>
      <c r="AK47" s="11"/>
    </row>
    <row r="48" customFormat="false" ht="19.5" hidden="false" customHeight="true" outlineLevel="0" collapsed="false">
      <c r="B48" s="8"/>
      <c r="C48" s="8"/>
      <c r="D48" s="17" t="s">
        <v>45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0" t="s">
        <v>67</v>
      </c>
      <c r="AK48" s="11"/>
    </row>
    <row r="49" customFormat="false" ht="19.5" hidden="false" customHeight="true" outlineLevel="0" collapsed="false">
      <c r="B49" s="8"/>
      <c r="C49" s="8"/>
      <c r="D49" s="17" t="s">
        <v>57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0" t="n">
        <v>494</v>
      </c>
      <c r="AK49" s="11"/>
    </row>
    <row r="50" customFormat="false" ht="19.5" hidden="false" customHeight="true" outlineLevel="0" collapsed="false">
      <c r="B50" s="8" t="s">
        <v>41</v>
      </c>
      <c r="C50" s="8"/>
      <c r="D50" s="17" t="s">
        <v>58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0" t="n">
        <v>498</v>
      </c>
      <c r="AK50" s="11" t="s">
        <v>59</v>
      </c>
    </row>
    <row r="51" customFormat="false" ht="19.5" hidden="false" customHeight="true" outlineLevel="0" collapsed="false">
      <c r="B51" s="8"/>
      <c r="C51" s="8"/>
      <c r="D51" s="17" t="s">
        <v>60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0" t="n">
        <v>502</v>
      </c>
      <c r="AK51" s="11"/>
    </row>
    <row r="52" customFormat="false" ht="19.5" hidden="false" customHeight="true" outlineLevel="0" collapsed="false">
      <c r="B52" s="8"/>
      <c r="C52" s="8"/>
      <c r="D52" s="17" t="s">
        <v>45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0" t="s">
        <v>68</v>
      </c>
      <c r="AK52" s="11"/>
    </row>
    <row r="53" customFormat="false" ht="19.5" hidden="false" customHeight="true" outlineLevel="0" collapsed="false">
      <c r="B53" s="8"/>
      <c r="C53" s="8"/>
      <c r="D53" s="17" t="s">
        <v>62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0" t="n">
        <v>558</v>
      </c>
      <c r="AK53" s="11"/>
    </row>
    <row r="54" customFormat="false" ht="19.5" hidden="false" customHeight="true" outlineLevel="0" collapsed="false">
      <c r="B54" s="8" t="s">
        <v>69</v>
      </c>
      <c r="C54" s="8"/>
      <c r="D54" s="18" t="s">
        <v>70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0" t="n">
        <v>562</v>
      </c>
      <c r="AK54" s="19" t="s">
        <v>71</v>
      </c>
    </row>
    <row r="56" customFormat="false" ht="17.15" hidden="false" customHeight="false" outlineLevel="0" collapsed="false">
      <c r="B56" s="20" t="s">
        <v>72</v>
      </c>
    </row>
    <row r="57" customFormat="false" ht="15" hidden="false" customHeight="false" outlineLevel="0" collapsed="false">
      <c r="B57" s="21" t="s">
        <v>73</v>
      </c>
      <c r="C57" s="22" t="n">
        <v>2</v>
      </c>
      <c r="D57" s="23" t="s">
        <v>74</v>
      </c>
    </row>
    <row r="58" customFormat="false" ht="15" hidden="false" customHeight="false" outlineLevel="0" collapsed="false">
      <c r="B58" s="21" t="s">
        <v>75</v>
      </c>
      <c r="C58" s="22" t="n">
        <v>4</v>
      </c>
      <c r="D58" s="23" t="s">
        <v>76</v>
      </c>
    </row>
    <row r="59" customFormat="false" ht="15" hidden="false" customHeight="false" outlineLevel="0" collapsed="false">
      <c r="B59" s="21" t="s">
        <v>77</v>
      </c>
      <c r="C59" s="22" t="n">
        <v>0</v>
      </c>
      <c r="D59" s="23" t="s">
        <v>78</v>
      </c>
    </row>
    <row r="60" customFormat="false" ht="15" hidden="false" customHeight="false" outlineLevel="0" collapsed="false">
      <c r="B60" s="21" t="s">
        <v>79</v>
      </c>
      <c r="C60" s="22" t="n">
        <v>100</v>
      </c>
      <c r="D60" s="23" t="s">
        <v>80</v>
      </c>
    </row>
    <row r="61" customFormat="false" ht="15" hidden="false" customHeight="false" outlineLevel="0" collapsed="false">
      <c r="B61" s="21" t="s">
        <v>81</v>
      </c>
      <c r="C61" s="22" t="n">
        <v>511</v>
      </c>
      <c r="D61" s="23" t="s">
        <v>82</v>
      </c>
    </row>
    <row r="62" customFormat="false" ht="15" hidden="false" customHeight="false" outlineLevel="0" collapsed="false">
      <c r="B62" s="21" t="s">
        <v>83</v>
      </c>
      <c r="C62" s="24" t="n">
        <f aca="false">C57*C58</f>
        <v>8</v>
      </c>
      <c r="D62" s="23"/>
    </row>
    <row r="63" customFormat="false" ht="15" hidden="false" customHeight="false" outlineLevel="0" collapsed="false">
      <c r="B63" s="25" t="s">
        <v>84</v>
      </c>
      <c r="C63" s="24" t="n">
        <f aca="false">C57*(16+C58*(64+C59))</f>
        <v>544</v>
      </c>
      <c r="D63" s="23" t="s">
        <v>85</v>
      </c>
    </row>
    <row r="64" customFormat="false" ht="15" hidden="false" customHeight="false" outlineLevel="0" collapsed="false">
      <c r="B64" s="21" t="s">
        <v>86</v>
      </c>
      <c r="C64" s="24" t="n">
        <f aca="false">MAX(60,18+C63)+4</f>
        <v>566</v>
      </c>
      <c r="D64" s="23" t="s">
        <v>87</v>
      </c>
    </row>
    <row r="65" customFormat="false" ht="15" hidden="false" customHeight="false" outlineLevel="0" collapsed="false">
      <c r="B65" s="21" t="s">
        <v>88</v>
      </c>
      <c r="C65" s="24" t="n">
        <f aca="false">C64+20</f>
        <v>586</v>
      </c>
      <c r="D65" s="26" t="s">
        <v>89</v>
      </c>
    </row>
    <row r="66" customFormat="false" ht="15" hidden="false" customHeight="false" outlineLevel="0" collapsed="false">
      <c r="B66" s="21" t="s">
        <v>90</v>
      </c>
      <c r="C66" s="27" t="n">
        <f aca="false">C60*1000/(C65*8)</f>
        <v>21.3310580204778</v>
      </c>
      <c r="D66" s="23"/>
    </row>
    <row r="67" customFormat="false" ht="15" hidden="false" customHeight="false" outlineLevel="0" collapsed="false">
      <c r="B67" s="21" t="s">
        <v>91</v>
      </c>
      <c r="C67" s="27" t="n">
        <f aca="false">C65*8/C60/C57</f>
        <v>23.44</v>
      </c>
      <c r="D67" s="23"/>
    </row>
    <row r="68" customFormat="false" ht="15" hidden="false" customHeight="false" outlineLevel="0" collapsed="false">
      <c r="B68" s="25" t="s">
        <v>92</v>
      </c>
      <c r="C68" s="27" t="n">
        <f aca="false">C61*C67/1000</f>
        <v>11.97784</v>
      </c>
      <c r="D68" s="23" t="s">
        <v>93</v>
      </c>
    </row>
  </sheetData>
  <mergeCells count="78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7"/>
    <mergeCell ref="D14:G14"/>
    <mergeCell ref="H14:P14"/>
    <mergeCell ref="Q14:R14"/>
    <mergeCell ref="S14:V14"/>
    <mergeCell ref="W14:AI14"/>
    <mergeCell ref="D15:AI15"/>
    <mergeCell ref="D16:O16"/>
    <mergeCell ref="P16:AI16"/>
    <mergeCell ref="D17:AF17"/>
    <mergeCell ref="AG17:AI17"/>
    <mergeCell ref="B18:C21"/>
    <mergeCell ref="D18:AI18"/>
    <mergeCell ref="D19:AI19"/>
    <mergeCell ref="D20:AI20"/>
    <mergeCell ref="D21:AI21"/>
    <mergeCell ref="B22:C25"/>
    <mergeCell ref="D22:AI22"/>
    <mergeCell ref="D23:AI23"/>
    <mergeCell ref="D24:AI24"/>
    <mergeCell ref="D25:AI25"/>
    <mergeCell ref="B26:C29"/>
    <mergeCell ref="D26:AI26"/>
    <mergeCell ref="D27:AI27"/>
    <mergeCell ref="D28:AI28"/>
    <mergeCell ref="D29:AI29"/>
    <mergeCell ref="B30:C33"/>
    <mergeCell ref="D30:AI30"/>
    <mergeCell ref="D31:AI31"/>
    <mergeCell ref="D32:AI32"/>
    <mergeCell ref="D33:AI33"/>
    <mergeCell ref="B34:C37"/>
    <mergeCell ref="D34:G34"/>
    <mergeCell ref="H34:P34"/>
    <mergeCell ref="Q34:R34"/>
    <mergeCell ref="S34:V34"/>
    <mergeCell ref="W34:AI34"/>
    <mergeCell ref="D35:AI35"/>
    <mergeCell ref="D36:O36"/>
    <mergeCell ref="P36:AI36"/>
    <mergeCell ref="D37:AF37"/>
    <mergeCell ref="AG37:AI37"/>
    <mergeCell ref="B38:C41"/>
    <mergeCell ref="D38:AI38"/>
    <mergeCell ref="D39:AI39"/>
    <mergeCell ref="D40:AI40"/>
    <mergeCell ref="D41:AI41"/>
    <mergeCell ref="B42:C45"/>
    <mergeCell ref="D42:AI42"/>
    <mergeCell ref="D43:AI43"/>
    <mergeCell ref="D44:AI44"/>
    <mergeCell ref="D45:AI45"/>
    <mergeCell ref="B46:C49"/>
    <mergeCell ref="D46:AI46"/>
    <mergeCell ref="D47:AI47"/>
    <mergeCell ref="D48:AI48"/>
    <mergeCell ref="D49:AI49"/>
    <mergeCell ref="B50:C53"/>
    <mergeCell ref="D50:AI50"/>
    <mergeCell ref="D51:AI51"/>
    <mergeCell ref="D52:AI52"/>
    <mergeCell ref="D53:AI53"/>
    <mergeCell ref="B54:C54"/>
    <mergeCell ref="D54:A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1" t="s">
        <v>94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95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96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97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98</v>
      </c>
    </row>
    <row r="13" customFormat="false" ht="51.75" hidden="false" customHeight="true" outlineLevel="0" collapsed="false">
      <c r="B13" s="7"/>
      <c r="C13" s="7"/>
      <c r="D13" s="9" t="s">
        <v>99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100</v>
      </c>
    </row>
    <row r="14" customFormat="false" ht="19.5" hidden="false" customHeight="true" outlineLevel="0" collapsed="false">
      <c r="B14" s="8" t="s">
        <v>101</v>
      </c>
      <c r="C14" s="8"/>
      <c r="D14" s="13" t="s">
        <v>102</v>
      </c>
      <c r="E14" s="13"/>
      <c r="F14" s="13"/>
      <c r="G14" s="13"/>
      <c r="H14" s="14" t="s">
        <v>103</v>
      </c>
      <c r="I14" s="14"/>
      <c r="J14" s="14"/>
      <c r="K14" s="14"/>
      <c r="L14" s="14"/>
      <c r="M14" s="14"/>
      <c r="N14" s="14"/>
      <c r="O14" s="14"/>
      <c r="P14" s="14"/>
      <c r="Q14" s="15" t="s">
        <v>104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0" t="n">
        <v>18</v>
      </c>
      <c r="AK14" s="11" t="s">
        <v>105</v>
      </c>
    </row>
    <row r="15" customFormat="false" ht="19.5" hidden="false" customHeight="true" outlineLevel="0" collapsed="false">
      <c r="B15" s="8"/>
      <c r="C15" s="8"/>
      <c r="D15" s="15" t="s">
        <v>106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0" t="n">
        <v>22</v>
      </c>
      <c r="AK15" s="11"/>
    </row>
    <row r="16" customFormat="false" ht="19.5" hidden="false" customHeight="true" outlineLevel="0" collapsed="false">
      <c r="B16" s="8"/>
      <c r="C16" s="8"/>
      <c r="D16" s="15" t="s">
        <v>107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6" t="s">
        <v>108</v>
      </c>
      <c r="AI16" s="16"/>
      <c r="AJ16" s="10" t="n">
        <v>26</v>
      </c>
      <c r="AK16" s="11" t="s">
        <v>109</v>
      </c>
    </row>
    <row r="17" customFormat="false" ht="19.5" hidden="false" customHeight="true" outlineLevel="0" collapsed="false">
      <c r="B17" s="8" t="s">
        <v>110</v>
      </c>
      <c r="C17" s="8"/>
      <c r="D17" s="13" t="s">
        <v>102</v>
      </c>
      <c r="E17" s="13"/>
      <c r="F17" s="13"/>
      <c r="G17" s="13"/>
      <c r="H17" s="14" t="s">
        <v>111</v>
      </c>
      <c r="I17" s="14"/>
      <c r="J17" s="14"/>
      <c r="K17" s="14"/>
      <c r="L17" s="14"/>
      <c r="M17" s="14"/>
      <c r="N17" s="14"/>
      <c r="O17" s="14"/>
      <c r="P17" s="14"/>
      <c r="Q17" s="15" t="s">
        <v>104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0" t="n">
        <v>30</v>
      </c>
      <c r="AK17" s="11" t="s">
        <v>105</v>
      </c>
    </row>
    <row r="18" customFormat="false" ht="19.5" hidden="false" customHeight="true" outlineLevel="0" collapsed="false">
      <c r="B18" s="8"/>
      <c r="C18" s="8"/>
      <c r="D18" s="15" t="s">
        <v>106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0" t="n">
        <v>34</v>
      </c>
      <c r="AK18" s="11"/>
    </row>
    <row r="19" customFormat="false" ht="19.5" hidden="false" customHeight="true" outlineLevel="0" collapsed="false">
      <c r="B19" s="8"/>
      <c r="C19" s="8"/>
      <c r="D19" s="15" t="s">
        <v>107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6" t="s">
        <v>108</v>
      </c>
      <c r="AI19" s="16"/>
      <c r="AJ19" s="10" t="n">
        <v>38</v>
      </c>
      <c r="AK19" s="11" t="s">
        <v>109</v>
      </c>
    </row>
    <row r="20" customFormat="false" ht="19.5" hidden="false" customHeight="true" outlineLevel="0" collapsed="false">
      <c r="B20" s="8" t="s">
        <v>112</v>
      </c>
      <c r="C20" s="8"/>
      <c r="D20" s="28" t="s">
        <v>113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10" t="n">
        <v>42</v>
      </c>
      <c r="AK20" s="19" t="s">
        <v>114</v>
      </c>
    </row>
    <row r="21" customFormat="false" ht="19.5" hidden="false" customHeight="true" outlineLevel="0" collapsed="false">
      <c r="B21" s="8"/>
      <c r="C21" s="8"/>
      <c r="D21" s="28" t="s">
        <v>113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10" t="n">
        <v>46</v>
      </c>
      <c r="AK21" s="11"/>
    </row>
    <row r="22" customFormat="false" ht="19.5" hidden="false" customHeight="true" outlineLevel="0" collapsed="false">
      <c r="B22" s="8"/>
      <c r="C22" s="8"/>
      <c r="D22" s="28" t="s">
        <v>113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10" t="n">
        <v>50</v>
      </c>
      <c r="AK22" s="11"/>
    </row>
    <row r="23" customFormat="false" ht="19.5" hidden="false" customHeight="true" outlineLevel="0" collapsed="false">
      <c r="B23" s="8"/>
      <c r="C23" s="8"/>
      <c r="D23" s="28" t="s">
        <v>113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10" t="n">
        <v>54</v>
      </c>
      <c r="AK23" s="11"/>
    </row>
    <row r="24" customFormat="false" ht="19.5" hidden="false" customHeight="true" outlineLevel="0" collapsed="false">
      <c r="B24" s="8"/>
      <c r="C24" s="8"/>
      <c r="D24" s="28" t="s">
        <v>115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10" t="s">
        <v>116</v>
      </c>
      <c r="AK24" s="11"/>
    </row>
    <row r="25" customFormat="false" ht="19.5" hidden="false" customHeight="true" outlineLevel="0" collapsed="false">
      <c r="B25" s="8" t="s">
        <v>69</v>
      </c>
      <c r="C25" s="8"/>
      <c r="D25" s="18" t="s">
        <v>70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0" t="n">
        <v>60</v>
      </c>
      <c r="AK25" s="19" t="s">
        <v>71</v>
      </c>
    </row>
    <row r="27" customFormat="false" ht="17.15" hidden="false" customHeight="false" outlineLevel="0" collapsed="false">
      <c r="B27" s="20" t="s">
        <v>117</v>
      </c>
    </row>
    <row r="28" customFormat="false" ht="15" hidden="false" customHeight="false" outlineLevel="0" collapsed="false">
      <c r="B28" s="21" t="s">
        <v>73</v>
      </c>
      <c r="C28" s="22" t="n">
        <v>2</v>
      </c>
      <c r="D28" s="23" t="s">
        <v>74</v>
      </c>
    </row>
    <row r="29" customFormat="false" ht="15" hidden="false" customHeight="false" outlineLevel="0" collapsed="false">
      <c r="B29" s="21" t="s">
        <v>75</v>
      </c>
      <c r="C29" s="22" t="n">
        <v>0</v>
      </c>
      <c r="D29" s="23" t="s">
        <v>76</v>
      </c>
    </row>
    <row r="30" customFormat="false" ht="15" hidden="false" customHeight="false" outlineLevel="0" collapsed="false">
      <c r="B30" s="21" t="s">
        <v>77</v>
      </c>
      <c r="C30" s="22" t="n">
        <v>0</v>
      </c>
      <c r="D30" s="23" t="s">
        <v>78</v>
      </c>
    </row>
    <row r="31" customFormat="false" ht="15" hidden="false" customHeight="false" outlineLevel="0" collapsed="false">
      <c r="B31" s="21" t="s">
        <v>83</v>
      </c>
      <c r="C31" s="24" t="n">
        <f aca="false">C28*C29</f>
        <v>0</v>
      </c>
      <c r="D31" s="23"/>
    </row>
    <row r="32" customFormat="false" ht="15" hidden="false" customHeight="false" outlineLevel="0" collapsed="false">
      <c r="B32" s="25" t="s">
        <v>84</v>
      </c>
      <c r="C32" s="24" t="n">
        <f aca="false">C28*(12+C29*(64+C30))</f>
        <v>24</v>
      </c>
      <c r="D32" s="23" t="s">
        <v>85</v>
      </c>
    </row>
    <row r="33" customFormat="false" ht="15" hidden="false" customHeight="false" outlineLevel="0" collapsed="false">
      <c r="B33" s="21" t="s">
        <v>86</v>
      </c>
      <c r="C33" s="24" t="n">
        <f aca="false">MAX(60,18+C32)+4</f>
        <v>64</v>
      </c>
      <c r="D33" s="23" t="s">
        <v>87</v>
      </c>
    </row>
    <row r="34" customFormat="false" ht="15" hidden="false" customHeight="false" outlineLevel="0" collapsed="false">
      <c r="B34" s="21" t="s">
        <v>88</v>
      </c>
      <c r="C34" s="24" t="n">
        <f aca="false">C33+20</f>
        <v>84</v>
      </c>
      <c r="D34" s="26" t="s">
        <v>89</v>
      </c>
    </row>
  </sheetData>
  <mergeCells count="36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6"/>
    <mergeCell ref="D14:G14"/>
    <mergeCell ref="H14:P14"/>
    <mergeCell ref="Q14:AI14"/>
    <mergeCell ref="D15:AI15"/>
    <mergeCell ref="D16:AG16"/>
    <mergeCell ref="AH16:AI16"/>
    <mergeCell ref="B17:C19"/>
    <mergeCell ref="D17:G17"/>
    <mergeCell ref="H17:P17"/>
    <mergeCell ref="Q17:AI17"/>
    <mergeCell ref="D18:AI18"/>
    <mergeCell ref="D19:AG19"/>
    <mergeCell ref="AH19:AI19"/>
    <mergeCell ref="B20:C24"/>
    <mergeCell ref="D20:AI20"/>
    <mergeCell ref="D21:AI21"/>
    <mergeCell ref="D22:AI22"/>
    <mergeCell ref="D23:AI23"/>
    <mergeCell ref="D24:AI24"/>
    <mergeCell ref="B25:C25"/>
    <mergeCell ref="D25:A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1" t="s">
        <v>118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13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119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120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121</v>
      </c>
    </row>
    <row r="13" customFormat="false" ht="51.75" hidden="false" customHeight="true" outlineLevel="0" collapsed="false">
      <c r="B13" s="7"/>
      <c r="C13" s="7"/>
      <c r="D13" s="9" t="s">
        <v>122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123</v>
      </c>
    </row>
    <row r="14" customFormat="false" ht="25.5" hidden="false" customHeight="true" outlineLevel="0" collapsed="false">
      <c r="B14" s="7" t="s">
        <v>124</v>
      </c>
      <c r="C14" s="7"/>
      <c r="D14" s="13" t="s">
        <v>125</v>
      </c>
      <c r="E14" s="13"/>
      <c r="F14" s="13"/>
      <c r="G14" s="13"/>
      <c r="H14" s="14" t="s">
        <v>126</v>
      </c>
      <c r="I14" s="14"/>
      <c r="J14" s="14"/>
      <c r="K14" s="14"/>
      <c r="L14" s="14"/>
      <c r="M14" s="14"/>
      <c r="N14" s="14"/>
      <c r="O14" s="14"/>
      <c r="P14" s="14"/>
      <c r="Q14" s="15" t="s">
        <v>127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0" t="n">
        <v>18</v>
      </c>
      <c r="AK14" s="11" t="s">
        <v>128</v>
      </c>
    </row>
    <row r="15" customFormat="false" ht="19.5" hidden="false" customHeight="true" outlineLevel="0" collapsed="false">
      <c r="B15" s="7"/>
      <c r="C15" s="7"/>
      <c r="D15" s="15" t="s">
        <v>129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0" t="n">
        <v>22</v>
      </c>
      <c r="AK15" s="11" t="s">
        <v>130</v>
      </c>
    </row>
    <row r="16" customFormat="false" ht="19.5" hidden="false" customHeight="true" outlineLevel="0" collapsed="false">
      <c r="B16" s="7"/>
      <c r="C16" s="7"/>
      <c r="D16" s="15" t="s">
        <v>131</v>
      </c>
      <c r="E16" s="15"/>
      <c r="F16" s="15"/>
      <c r="G16" s="15"/>
      <c r="H16" s="15"/>
      <c r="I16" s="15"/>
      <c r="J16" s="15"/>
      <c r="K16" s="15"/>
      <c r="L16" s="15"/>
      <c r="M16" s="15"/>
      <c r="N16" s="16" t="s">
        <v>132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0" t="n">
        <v>26</v>
      </c>
      <c r="AK16" s="11" t="s">
        <v>133</v>
      </c>
    </row>
    <row r="17" customFormat="false" ht="25.5" hidden="false" customHeight="true" outlineLevel="0" collapsed="false">
      <c r="B17" s="7"/>
      <c r="C17" s="7"/>
      <c r="D17" s="16" t="s">
        <v>134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0" t="s">
        <v>135</v>
      </c>
      <c r="AF17" s="10"/>
      <c r="AG17" s="10" t="s">
        <v>136</v>
      </c>
      <c r="AH17" s="10"/>
      <c r="AI17" s="10"/>
      <c r="AJ17" s="10" t="n">
        <v>30</v>
      </c>
      <c r="AK17" s="11" t="s">
        <v>137</v>
      </c>
    </row>
    <row r="18" customFormat="false" ht="25.5" hidden="false" customHeight="true" outlineLevel="0" collapsed="false">
      <c r="B18" s="7" t="s">
        <v>138</v>
      </c>
      <c r="C18" s="7"/>
      <c r="D18" s="13" t="s">
        <v>125</v>
      </c>
      <c r="E18" s="13"/>
      <c r="F18" s="13"/>
      <c r="G18" s="13"/>
      <c r="H18" s="14" t="s">
        <v>139</v>
      </c>
      <c r="I18" s="14"/>
      <c r="J18" s="14"/>
      <c r="K18" s="14"/>
      <c r="L18" s="14"/>
      <c r="M18" s="14"/>
      <c r="N18" s="14"/>
      <c r="O18" s="14"/>
      <c r="P18" s="14"/>
      <c r="Q18" s="15" t="s">
        <v>127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0" t="n">
        <v>34</v>
      </c>
      <c r="AK18" s="11" t="s">
        <v>128</v>
      </c>
    </row>
    <row r="19" customFormat="false" ht="19.5" hidden="false" customHeight="true" outlineLevel="0" collapsed="false">
      <c r="B19" s="7"/>
      <c r="C19" s="7"/>
      <c r="D19" s="15" t="s">
        <v>129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0" t="n">
        <v>38</v>
      </c>
      <c r="AK19" s="11" t="s">
        <v>130</v>
      </c>
    </row>
    <row r="20" customFormat="false" ht="19.5" hidden="false" customHeight="true" outlineLevel="0" collapsed="false">
      <c r="B20" s="7"/>
      <c r="C20" s="7"/>
      <c r="D20" s="15" t="s">
        <v>131</v>
      </c>
      <c r="E20" s="15"/>
      <c r="F20" s="15"/>
      <c r="G20" s="15"/>
      <c r="H20" s="15"/>
      <c r="I20" s="15"/>
      <c r="J20" s="15"/>
      <c r="K20" s="15"/>
      <c r="L20" s="15"/>
      <c r="M20" s="15"/>
      <c r="N20" s="16" t="s">
        <v>132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0" t="n">
        <v>42</v>
      </c>
      <c r="AK20" s="11" t="s">
        <v>133</v>
      </c>
    </row>
    <row r="21" customFormat="false" ht="25.5" hidden="false" customHeight="true" outlineLevel="0" collapsed="false">
      <c r="B21" s="7"/>
      <c r="C21" s="7"/>
      <c r="D21" s="16" t="s">
        <v>134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0" t="s">
        <v>135</v>
      </c>
      <c r="AF21" s="10"/>
      <c r="AG21" s="10" t="s">
        <v>136</v>
      </c>
      <c r="AH21" s="10"/>
      <c r="AI21" s="10"/>
      <c r="AJ21" s="10" t="n">
        <v>46</v>
      </c>
      <c r="AK21" s="11" t="s">
        <v>137</v>
      </c>
    </row>
    <row r="22" customFormat="false" ht="19.5" hidden="false" customHeight="true" outlineLevel="0" collapsed="false">
      <c r="B22" s="8" t="s">
        <v>112</v>
      </c>
      <c r="C22" s="8"/>
      <c r="D22" s="28" t="s">
        <v>113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10" t="n">
        <v>50</v>
      </c>
      <c r="AK22" s="19" t="s">
        <v>140</v>
      </c>
    </row>
    <row r="23" customFormat="false" ht="19.5" hidden="false" customHeight="true" outlineLevel="0" collapsed="false">
      <c r="B23" s="8"/>
      <c r="C23" s="8"/>
      <c r="D23" s="28" t="s">
        <v>113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10" t="n">
        <v>54</v>
      </c>
      <c r="AK23" s="11"/>
    </row>
    <row r="24" customFormat="false" ht="19.5" hidden="false" customHeight="true" outlineLevel="0" collapsed="false">
      <c r="B24" s="8"/>
      <c r="C24" s="8"/>
      <c r="D24" s="28" t="s">
        <v>115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10" t="s">
        <v>116</v>
      </c>
      <c r="AK24" s="11"/>
    </row>
    <row r="25" customFormat="false" ht="19.5" hidden="false" customHeight="true" outlineLevel="0" collapsed="false">
      <c r="B25" s="8" t="s">
        <v>69</v>
      </c>
      <c r="C25" s="8"/>
      <c r="D25" s="18" t="s">
        <v>70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0" t="n">
        <v>60</v>
      </c>
      <c r="AK25" s="19" t="s">
        <v>71</v>
      </c>
    </row>
    <row r="27" customFormat="false" ht="17.15" hidden="false" customHeight="false" outlineLevel="0" collapsed="false">
      <c r="B27" s="20" t="s">
        <v>141</v>
      </c>
    </row>
    <row r="28" customFormat="false" ht="15" hidden="false" customHeight="false" outlineLevel="0" collapsed="false">
      <c r="B28" s="21" t="s">
        <v>73</v>
      </c>
      <c r="C28" s="22" t="n">
        <v>2</v>
      </c>
      <c r="D28" s="23" t="s">
        <v>74</v>
      </c>
    </row>
    <row r="29" customFormat="false" ht="15" hidden="false" customHeight="false" outlineLevel="0" collapsed="false">
      <c r="B29" s="21" t="s">
        <v>75</v>
      </c>
      <c r="C29" s="22" t="n">
        <v>0</v>
      </c>
      <c r="D29" s="23" t="s">
        <v>76</v>
      </c>
    </row>
    <row r="30" customFormat="false" ht="15" hidden="false" customHeight="false" outlineLevel="0" collapsed="false">
      <c r="B30" s="21" t="s">
        <v>77</v>
      </c>
      <c r="C30" s="22" t="n">
        <v>0</v>
      </c>
      <c r="D30" s="23" t="s">
        <v>78</v>
      </c>
    </row>
    <row r="31" customFormat="false" ht="15" hidden="false" customHeight="false" outlineLevel="0" collapsed="false">
      <c r="B31" s="21" t="s">
        <v>83</v>
      </c>
      <c r="C31" s="24" t="n">
        <f aca="false">C28*C29</f>
        <v>0</v>
      </c>
      <c r="D31" s="23"/>
    </row>
    <row r="32" customFormat="false" ht="15" hidden="false" customHeight="false" outlineLevel="0" collapsed="false">
      <c r="B32" s="25" t="s">
        <v>84</v>
      </c>
      <c r="C32" s="24" t="n">
        <f aca="false">C28*(16+C29*(64+C30))</f>
        <v>32</v>
      </c>
      <c r="D32" s="23" t="s">
        <v>85</v>
      </c>
    </row>
    <row r="33" customFormat="false" ht="15" hidden="false" customHeight="false" outlineLevel="0" collapsed="false">
      <c r="B33" s="21" t="s">
        <v>86</v>
      </c>
      <c r="C33" s="24" t="n">
        <f aca="false">MAX(60,18+C32)+4</f>
        <v>64</v>
      </c>
      <c r="D33" s="23" t="s">
        <v>87</v>
      </c>
    </row>
    <row r="34" customFormat="false" ht="15" hidden="false" customHeight="false" outlineLevel="0" collapsed="false">
      <c r="B34" s="21" t="s">
        <v>88</v>
      </c>
      <c r="C34" s="24" t="n">
        <f aca="false">C33+20</f>
        <v>84</v>
      </c>
      <c r="D34" s="26" t="s">
        <v>89</v>
      </c>
    </row>
  </sheetData>
  <mergeCells count="40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7"/>
    <mergeCell ref="D14:G14"/>
    <mergeCell ref="H14:P14"/>
    <mergeCell ref="Q14:AI14"/>
    <mergeCell ref="D15:AI15"/>
    <mergeCell ref="D16:M16"/>
    <mergeCell ref="N16:AI16"/>
    <mergeCell ref="D17:AD17"/>
    <mergeCell ref="AE17:AF17"/>
    <mergeCell ref="AG17:AI17"/>
    <mergeCell ref="B18:C21"/>
    <mergeCell ref="D18:G18"/>
    <mergeCell ref="H18:P18"/>
    <mergeCell ref="Q18:AI18"/>
    <mergeCell ref="D19:AI19"/>
    <mergeCell ref="D20:M20"/>
    <mergeCell ref="N20:AI20"/>
    <mergeCell ref="D21:AD21"/>
    <mergeCell ref="AE21:AF21"/>
    <mergeCell ref="AG21:AI21"/>
    <mergeCell ref="B22:C24"/>
    <mergeCell ref="D22:AI22"/>
    <mergeCell ref="D23:AI23"/>
    <mergeCell ref="D24:AI24"/>
    <mergeCell ref="B25:C25"/>
    <mergeCell ref="D25:A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1" t="s">
        <v>142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95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96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143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144</v>
      </c>
    </row>
    <row r="13" customFormat="false" ht="51.75" hidden="false" customHeight="true" outlineLevel="0" collapsed="false">
      <c r="B13" s="7"/>
      <c r="C13" s="7"/>
      <c r="D13" s="9" t="s">
        <v>145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146</v>
      </c>
    </row>
    <row r="14" customFormat="false" ht="39" hidden="false" customHeight="true" outlineLevel="0" collapsed="false">
      <c r="B14" s="8" t="s">
        <v>147</v>
      </c>
      <c r="C14" s="8"/>
      <c r="D14" s="13" t="s">
        <v>148</v>
      </c>
      <c r="E14" s="13"/>
      <c r="F14" s="13"/>
      <c r="G14" s="13"/>
      <c r="H14" s="14" t="s">
        <v>149</v>
      </c>
      <c r="I14" s="14"/>
      <c r="J14" s="14"/>
      <c r="K14" s="14"/>
      <c r="L14" s="14"/>
      <c r="M14" s="14"/>
      <c r="N14" s="14"/>
      <c r="O14" s="14"/>
      <c r="P14" s="14"/>
      <c r="Q14" s="10" t="s">
        <v>150</v>
      </c>
      <c r="R14" s="10"/>
      <c r="S14" s="15" t="s">
        <v>151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29" t="s">
        <v>152</v>
      </c>
      <c r="AG14" s="16" t="s">
        <v>153</v>
      </c>
      <c r="AH14" s="16"/>
      <c r="AI14" s="10" t="s">
        <v>154</v>
      </c>
      <c r="AJ14" s="10" t="n">
        <v>18</v>
      </c>
      <c r="AK14" s="11" t="s">
        <v>155</v>
      </c>
    </row>
    <row r="15" customFormat="false" ht="19.5" hidden="false" customHeight="true" outlineLevel="0" collapsed="false">
      <c r="B15" s="8" t="s">
        <v>156</v>
      </c>
      <c r="C15" s="8"/>
      <c r="D15" s="17" t="s">
        <v>157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0" t="n">
        <v>22</v>
      </c>
      <c r="AK15" s="11" t="s">
        <v>158</v>
      </c>
    </row>
    <row r="16" customFormat="false" ht="19.5" hidden="false" customHeight="true" outlineLevel="0" collapsed="false">
      <c r="B16" s="8"/>
      <c r="C16" s="8"/>
      <c r="D16" s="17" t="s">
        <v>159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0" t="n">
        <v>26</v>
      </c>
      <c r="AK16" s="11"/>
    </row>
    <row r="17" customFormat="false" ht="19.5" hidden="false" customHeight="true" outlineLevel="0" collapsed="false">
      <c r="B17" s="8"/>
      <c r="C17" s="8"/>
      <c r="D17" s="17" t="s">
        <v>45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0" t="s">
        <v>160</v>
      </c>
      <c r="AK17" s="11"/>
    </row>
    <row r="18" customFormat="false" ht="19.5" hidden="false" customHeight="true" outlineLevel="0" collapsed="false">
      <c r="B18" s="8"/>
      <c r="C18" s="8"/>
      <c r="D18" s="17" t="s">
        <v>161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0" t="n">
        <v>82</v>
      </c>
      <c r="AK18" s="11"/>
    </row>
    <row r="19" customFormat="false" ht="19.5" hidden="false" customHeight="true" outlineLevel="0" collapsed="false">
      <c r="B19" s="8" t="s">
        <v>156</v>
      </c>
      <c r="C19" s="8"/>
      <c r="D19" s="17" t="s">
        <v>162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0" t="n">
        <v>86</v>
      </c>
      <c r="AK19" s="11" t="s">
        <v>163</v>
      </c>
    </row>
    <row r="20" customFormat="false" ht="19.5" hidden="false" customHeight="true" outlineLevel="0" collapsed="false">
      <c r="B20" s="8"/>
      <c r="C20" s="8"/>
      <c r="D20" s="17" t="s">
        <v>164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0" t="n">
        <v>90</v>
      </c>
      <c r="AK20" s="11"/>
    </row>
    <row r="21" customFormat="false" ht="19.5" hidden="false" customHeight="true" outlineLevel="0" collapsed="false">
      <c r="B21" s="8"/>
      <c r="C21" s="8"/>
      <c r="D21" s="17" t="s">
        <v>45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0" t="s">
        <v>165</v>
      </c>
      <c r="AK21" s="11"/>
    </row>
    <row r="22" customFormat="false" ht="19.5" hidden="false" customHeight="true" outlineLevel="0" collapsed="false">
      <c r="B22" s="8"/>
      <c r="C22" s="8"/>
      <c r="D22" s="17" t="s">
        <v>166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0" t="n">
        <v>146</v>
      </c>
      <c r="AK22" s="11"/>
    </row>
    <row r="23" customFormat="false" ht="19.5" hidden="false" customHeight="true" outlineLevel="0" collapsed="false">
      <c r="B23" s="8" t="s">
        <v>156</v>
      </c>
      <c r="C23" s="8"/>
      <c r="D23" s="17" t="s">
        <v>167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0" t="n">
        <v>150</v>
      </c>
      <c r="AK23" s="11" t="s">
        <v>168</v>
      </c>
    </row>
    <row r="24" customFormat="false" ht="19.5" hidden="false" customHeight="true" outlineLevel="0" collapsed="false">
      <c r="B24" s="8"/>
      <c r="C24" s="8"/>
      <c r="D24" s="17" t="s">
        <v>169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0" t="n">
        <v>154</v>
      </c>
      <c r="AK24" s="11"/>
    </row>
    <row r="25" customFormat="false" ht="19.5" hidden="false" customHeight="true" outlineLevel="0" collapsed="false">
      <c r="B25" s="8"/>
      <c r="C25" s="8"/>
      <c r="D25" s="17" t="s">
        <v>45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0" t="s">
        <v>170</v>
      </c>
      <c r="AK25" s="11"/>
    </row>
    <row r="26" customFormat="false" ht="19.5" hidden="false" customHeight="true" outlineLevel="0" collapsed="false">
      <c r="B26" s="8"/>
      <c r="C26" s="8"/>
      <c r="D26" s="17" t="s">
        <v>171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0" t="n">
        <v>210</v>
      </c>
      <c r="AK26" s="11"/>
    </row>
    <row r="27" customFormat="false" ht="19.5" hidden="false" customHeight="true" outlineLevel="0" collapsed="false">
      <c r="B27" s="8" t="s">
        <v>156</v>
      </c>
      <c r="C27" s="8"/>
      <c r="D27" s="17" t="s">
        <v>172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0" t="n">
        <v>214</v>
      </c>
      <c r="AK27" s="11" t="s">
        <v>173</v>
      </c>
    </row>
    <row r="28" customFormat="false" ht="19.5" hidden="false" customHeight="true" outlineLevel="0" collapsed="false">
      <c r="B28" s="8"/>
      <c r="C28" s="8"/>
      <c r="D28" s="17" t="s">
        <v>174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0" t="n">
        <v>218</v>
      </c>
      <c r="AK28" s="11"/>
    </row>
    <row r="29" customFormat="false" ht="19.5" hidden="false" customHeight="true" outlineLevel="0" collapsed="false">
      <c r="B29" s="8"/>
      <c r="C29" s="8"/>
      <c r="D29" s="17" t="s">
        <v>45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0" t="s">
        <v>175</v>
      </c>
      <c r="AK29" s="11"/>
    </row>
    <row r="30" customFormat="false" ht="19.5" hidden="false" customHeight="true" outlineLevel="0" collapsed="false">
      <c r="B30" s="8"/>
      <c r="C30" s="8"/>
      <c r="D30" s="17" t="s">
        <v>176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0" t="n">
        <v>274</v>
      </c>
      <c r="AK30" s="11"/>
    </row>
    <row r="31" customFormat="false" ht="39" hidden="false" customHeight="true" outlineLevel="0" collapsed="false">
      <c r="B31" s="8" t="s">
        <v>177</v>
      </c>
      <c r="C31" s="8"/>
      <c r="D31" s="13" t="s">
        <v>148</v>
      </c>
      <c r="E31" s="13"/>
      <c r="F31" s="13"/>
      <c r="G31" s="13"/>
      <c r="H31" s="14" t="s">
        <v>178</v>
      </c>
      <c r="I31" s="14"/>
      <c r="J31" s="14"/>
      <c r="K31" s="14"/>
      <c r="L31" s="14"/>
      <c r="M31" s="14"/>
      <c r="N31" s="14"/>
      <c r="O31" s="14"/>
      <c r="P31" s="14"/>
      <c r="Q31" s="10" t="s">
        <v>150</v>
      </c>
      <c r="R31" s="10"/>
      <c r="S31" s="15" t="s">
        <v>151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29" t="s">
        <v>152</v>
      </c>
      <c r="AG31" s="16" t="s">
        <v>153</v>
      </c>
      <c r="AH31" s="16"/>
      <c r="AI31" s="10" t="s">
        <v>154</v>
      </c>
      <c r="AJ31" s="10" t="n">
        <v>278</v>
      </c>
      <c r="AK31" s="11" t="s">
        <v>155</v>
      </c>
    </row>
    <row r="32" customFormat="false" ht="19.5" hidden="false" customHeight="true" outlineLevel="0" collapsed="false">
      <c r="B32" s="8" t="s">
        <v>156</v>
      </c>
      <c r="C32" s="8"/>
      <c r="D32" s="17" t="s">
        <v>157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0" t="n">
        <v>282</v>
      </c>
      <c r="AK32" s="11" t="s">
        <v>158</v>
      </c>
    </row>
    <row r="33" customFormat="false" ht="19.5" hidden="false" customHeight="true" outlineLevel="0" collapsed="false">
      <c r="B33" s="8"/>
      <c r="C33" s="8"/>
      <c r="D33" s="17" t="s">
        <v>159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0" t="n">
        <v>286</v>
      </c>
      <c r="AK33" s="11"/>
    </row>
    <row r="34" customFormat="false" ht="19.5" hidden="false" customHeight="true" outlineLevel="0" collapsed="false">
      <c r="B34" s="8"/>
      <c r="C34" s="8"/>
      <c r="D34" s="17" t="s">
        <v>45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0" t="s">
        <v>179</v>
      </c>
      <c r="AK34" s="11"/>
    </row>
    <row r="35" customFormat="false" ht="19.5" hidden="false" customHeight="true" outlineLevel="0" collapsed="false">
      <c r="B35" s="8"/>
      <c r="C35" s="8"/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0" t="n">
        <v>342</v>
      </c>
      <c r="AK35" s="11"/>
    </row>
    <row r="36" customFormat="false" ht="19.5" hidden="false" customHeight="true" outlineLevel="0" collapsed="false">
      <c r="B36" s="8" t="s">
        <v>156</v>
      </c>
      <c r="C36" s="8"/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0" t="n">
        <v>346</v>
      </c>
      <c r="AK36" s="11" t="s">
        <v>163</v>
      </c>
    </row>
    <row r="37" customFormat="false" ht="19.5" hidden="false" customHeight="true" outlineLevel="0" collapsed="false">
      <c r="B37" s="8"/>
      <c r="C37" s="8"/>
      <c r="D37" s="17" t="s">
        <v>164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0" t="n">
        <v>350</v>
      </c>
      <c r="AK37" s="11"/>
    </row>
    <row r="38" customFormat="false" ht="19.5" hidden="false" customHeight="true" outlineLevel="0" collapsed="false">
      <c r="B38" s="8"/>
      <c r="C38" s="8"/>
      <c r="D38" s="17" t="s">
        <v>45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0" t="s">
        <v>180</v>
      </c>
      <c r="AK38" s="11"/>
    </row>
    <row r="39" customFormat="false" ht="19.5" hidden="false" customHeight="true" outlineLevel="0" collapsed="false">
      <c r="B39" s="8"/>
      <c r="C39" s="8"/>
      <c r="D39" s="17" t="s">
        <v>166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0" t="n">
        <v>406</v>
      </c>
      <c r="AK39" s="11"/>
    </row>
    <row r="40" customFormat="false" ht="19.5" hidden="false" customHeight="true" outlineLevel="0" collapsed="false">
      <c r="B40" s="8" t="s">
        <v>156</v>
      </c>
      <c r="C40" s="8"/>
      <c r="D40" s="17" t="s">
        <v>167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0" t="n">
        <v>410</v>
      </c>
      <c r="AK40" s="11" t="s">
        <v>168</v>
      </c>
    </row>
    <row r="41" customFormat="false" ht="19.5" hidden="false" customHeight="true" outlineLevel="0" collapsed="false">
      <c r="B41" s="8"/>
      <c r="C41" s="8"/>
      <c r="D41" s="17" t="s">
        <v>169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0" t="n">
        <v>414</v>
      </c>
      <c r="AK41" s="11"/>
    </row>
    <row r="42" customFormat="false" ht="19.5" hidden="false" customHeight="true" outlineLevel="0" collapsed="false">
      <c r="B42" s="8"/>
      <c r="C42" s="8"/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0" t="s">
        <v>181</v>
      </c>
      <c r="AK42" s="11"/>
    </row>
    <row r="43" customFormat="false" ht="19.5" hidden="false" customHeight="true" outlineLevel="0" collapsed="false">
      <c r="B43" s="8"/>
      <c r="C43" s="8"/>
      <c r="D43" s="17" t="s">
        <v>171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0" t="n">
        <v>470</v>
      </c>
      <c r="AK43" s="11"/>
    </row>
    <row r="44" customFormat="false" ht="19.5" hidden="false" customHeight="true" outlineLevel="0" collapsed="false">
      <c r="B44" s="8" t="s">
        <v>156</v>
      </c>
      <c r="C44" s="8"/>
      <c r="D44" s="17" t="s">
        <v>172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0" t="n">
        <v>474</v>
      </c>
      <c r="AK44" s="11" t="s">
        <v>173</v>
      </c>
    </row>
    <row r="45" customFormat="false" ht="19.5" hidden="false" customHeight="true" outlineLevel="0" collapsed="false">
      <c r="B45" s="8"/>
      <c r="C45" s="8"/>
      <c r="D45" s="17" t="s">
        <v>174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0" t="n">
        <v>478</v>
      </c>
      <c r="AK45" s="11"/>
    </row>
    <row r="46" customFormat="false" ht="19.5" hidden="false" customHeight="true" outlineLevel="0" collapsed="false">
      <c r="B46" s="8"/>
      <c r="C46" s="8"/>
      <c r="D46" s="17" t="s">
        <v>45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0" t="s">
        <v>182</v>
      </c>
      <c r="AK46" s="11"/>
    </row>
    <row r="47" customFormat="false" ht="19.5" hidden="false" customHeight="true" outlineLevel="0" collapsed="false">
      <c r="B47" s="8"/>
      <c r="C47" s="8"/>
      <c r="D47" s="17" t="s">
        <v>176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0" t="n">
        <v>534</v>
      </c>
      <c r="AK47" s="11"/>
    </row>
    <row r="48" customFormat="false" ht="19.5" hidden="false" customHeight="true" outlineLevel="0" collapsed="false">
      <c r="B48" s="8" t="s">
        <v>69</v>
      </c>
      <c r="C48" s="8"/>
      <c r="D48" s="18" t="s">
        <v>70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0" t="n">
        <v>538</v>
      </c>
      <c r="AK48" s="19" t="s">
        <v>71</v>
      </c>
    </row>
    <row r="50" customFormat="false" ht="17.15" hidden="false" customHeight="false" outlineLevel="0" collapsed="false">
      <c r="B50" s="20" t="s">
        <v>183</v>
      </c>
    </row>
    <row r="51" customFormat="false" ht="15" hidden="false" customHeight="false" outlineLevel="0" collapsed="false">
      <c r="B51" s="21" t="s">
        <v>73</v>
      </c>
      <c r="C51" s="22" t="n">
        <v>2</v>
      </c>
      <c r="D51" s="23" t="s">
        <v>74</v>
      </c>
    </row>
    <row r="52" customFormat="false" ht="15" hidden="false" customHeight="false" outlineLevel="0" collapsed="false">
      <c r="B52" s="21" t="s">
        <v>75</v>
      </c>
      <c r="C52" s="22" t="n">
        <v>4</v>
      </c>
      <c r="D52" s="23" t="s">
        <v>76</v>
      </c>
    </row>
    <row r="53" customFormat="false" ht="15" hidden="false" customHeight="false" outlineLevel="0" collapsed="false">
      <c r="B53" s="21" t="s">
        <v>77</v>
      </c>
      <c r="C53" s="22" t="n">
        <v>0</v>
      </c>
      <c r="D53" s="23" t="s">
        <v>78</v>
      </c>
    </row>
    <row r="54" customFormat="false" ht="15" hidden="false" customHeight="false" outlineLevel="0" collapsed="false">
      <c r="B54" s="21" t="s">
        <v>79</v>
      </c>
      <c r="C54" s="22" t="n">
        <v>100</v>
      </c>
      <c r="D54" s="23" t="s">
        <v>80</v>
      </c>
    </row>
    <row r="55" customFormat="false" ht="15" hidden="false" customHeight="false" outlineLevel="0" collapsed="false">
      <c r="B55" s="21" t="s">
        <v>81</v>
      </c>
      <c r="C55" s="22" t="n">
        <v>511</v>
      </c>
      <c r="D55" s="23" t="s">
        <v>82</v>
      </c>
    </row>
    <row r="56" customFormat="false" ht="15" hidden="false" customHeight="false" outlineLevel="0" collapsed="false">
      <c r="B56" s="21" t="s">
        <v>83</v>
      </c>
      <c r="C56" s="24" t="n">
        <f aca="false">C51*C52</f>
        <v>8</v>
      </c>
      <c r="D56" s="23"/>
    </row>
    <row r="57" customFormat="false" ht="15" hidden="false" customHeight="false" outlineLevel="0" collapsed="false">
      <c r="B57" s="25" t="s">
        <v>84</v>
      </c>
      <c r="C57" s="24" t="n">
        <f aca="false">C51*(4+C52*(64+C53))</f>
        <v>520</v>
      </c>
      <c r="D57" s="23" t="s">
        <v>85</v>
      </c>
    </row>
    <row r="58" customFormat="false" ht="15" hidden="false" customHeight="false" outlineLevel="0" collapsed="false">
      <c r="B58" s="21" t="s">
        <v>86</v>
      </c>
      <c r="C58" s="24" t="n">
        <f aca="false">MAX(60,18+C57)+4</f>
        <v>542</v>
      </c>
      <c r="D58" s="23" t="s">
        <v>87</v>
      </c>
    </row>
    <row r="59" customFormat="false" ht="15" hidden="false" customHeight="false" outlineLevel="0" collapsed="false">
      <c r="B59" s="21" t="s">
        <v>88</v>
      </c>
      <c r="C59" s="24" t="n">
        <f aca="false">C58+20</f>
        <v>562</v>
      </c>
      <c r="D59" s="26" t="s">
        <v>89</v>
      </c>
    </row>
    <row r="60" customFormat="false" ht="15" hidden="false" customHeight="false" outlineLevel="0" collapsed="false">
      <c r="B60" s="21" t="s">
        <v>90</v>
      </c>
      <c r="C60" s="27" t="n">
        <f aca="false">C54*1000/(C59*8)</f>
        <v>22.2419928825623</v>
      </c>
      <c r="D60" s="23"/>
    </row>
    <row r="61" customFormat="false" ht="15" hidden="false" customHeight="false" outlineLevel="0" collapsed="false">
      <c r="B61" s="21" t="s">
        <v>91</v>
      </c>
      <c r="C61" s="27" t="n">
        <f aca="false">C59*8/C54/C51</f>
        <v>22.48</v>
      </c>
      <c r="D61" s="23"/>
    </row>
    <row r="62" customFormat="false" ht="15" hidden="false" customHeight="false" outlineLevel="0" collapsed="false">
      <c r="B62" s="25" t="s">
        <v>92</v>
      </c>
      <c r="C62" s="27" t="n">
        <f aca="false">C55*C61/1000</f>
        <v>11.48728</v>
      </c>
      <c r="D62" s="23" t="s">
        <v>93</v>
      </c>
    </row>
  </sheetData>
  <mergeCells count="68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4"/>
    <mergeCell ref="D14:G14"/>
    <mergeCell ref="H14:P14"/>
    <mergeCell ref="Q14:R14"/>
    <mergeCell ref="S14:AE14"/>
    <mergeCell ref="AG14:AH14"/>
    <mergeCell ref="B15:C18"/>
    <mergeCell ref="D15:AI15"/>
    <mergeCell ref="D16:AI16"/>
    <mergeCell ref="D17:AI17"/>
    <mergeCell ref="D18:AI18"/>
    <mergeCell ref="B19:C22"/>
    <mergeCell ref="D19:AI19"/>
    <mergeCell ref="D20:AI20"/>
    <mergeCell ref="D21:AI21"/>
    <mergeCell ref="D22:AI22"/>
    <mergeCell ref="B23:C26"/>
    <mergeCell ref="D23:AI23"/>
    <mergeCell ref="D24:AI24"/>
    <mergeCell ref="D25:AI25"/>
    <mergeCell ref="D26:AI26"/>
    <mergeCell ref="B27:C30"/>
    <mergeCell ref="D27:AI27"/>
    <mergeCell ref="D28:AI28"/>
    <mergeCell ref="D29:AI29"/>
    <mergeCell ref="D30:AI30"/>
    <mergeCell ref="B31:C31"/>
    <mergeCell ref="D31:G31"/>
    <mergeCell ref="H31:P31"/>
    <mergeCell ref="Q31:R31"/>
    <mergeCell ref="S31:AE31"/>
    <mergeCell ref="AG31:AH31"/>
    <mergeCell ref="B32:C35"/>
    <mergeCell ref="D32:AI32"/>
    <mergeCell ref="D33:AI33"/>
    <mergeCell ref="D34:AI34"/>
    <mergeCell ref="D35:AI35"/>
    <mergeCell ref="B36:C39"/>
    <mergeCell ref="D36:AI36"/>
    <mergeCell ref="D37:AI37"/>
    <mergeCell ref="D38:AI38"/>
    <mergeCell ref="D39:AI39"/>
    <mergeCell ref="B40:C43"/>
    <mergeCell ref="D40:AI40"/>
    <mergeCell ref="D41:AI41"/>
    <mergeCell ref="D42:AI42"/>
    <mergeCell ref="D43:AI43"/>
    <mergeCell ref="B44:C47"/>
    <mergeCell ref="D44:AI44"/>
    <mergeCell ref="D45:AI45"/>
    <mergeCell ref="D46:AI46"/>
    <mergeCell ref="D47:AI47"/>
    <mergeCell ref="B48:C48"/>
    <mergeCell ref="D48:A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30" t="s">
        <v>184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13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119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19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22</v>
      </c>
    </row>
    <row r="13" customFormat="false" ht="51.75" hidden="false" customHeight="true" outlineLevel="0" collapsed="false">
      <c r="B13" s="7"/>
      <c r="C13" s="7"/>
      <c r="D13" s="9" t="s">
        <v>185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186</v>
      </c>
    </row>
    <row r="14" customFormat="false" ht="25.5" hidden="false" customHeight="true" outlineLevel="0" collapsed="false">
      <c r="B14" s="7" t="s">
        <v>187</v>
      </c>
      <c r="C14" s="7"/>
      <c r="D14" s="13" t="s">
        <v>188</v>
      </c>
      <c r="E14" s="13"/>
      <c r="F14" s="13"/>
      <c r="G14" s="13"/>
      <c r="H14" s="14" t="s">
        <v>28</v>
      </c>
      <c r="I14" s="14"/>
      <c r="J14" s="14"/>
      <c r="K14" s="14"/>
      <c r="L14" s="14"/>
      <c r="M14" s="14"/>
      <c r="N14" s="14"/>
      <c r="O14" s="14"/>
      <c r="P14" s="14"/>
      <c r="Q14" s="10" t="s">
        <v>189</v>
      </c>
      <c r="R14" s="10"/>
      <c r="S14" s="29" t="s">
        <v>190</v>
      </c>
      <c r="T14" s="29"/>
      <c r="U14" s="29"/>
      <c r="V14" s="29"/>
      <c r="W14" s="15" t="s">
        <v>31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0" t="n">
        <v>18</v>
      </c>
      <c r="AK14" s="11" t="s">
        <v>191</v>
      </c>
    </row>
    <row r="15" customFormat="false" ht="19.5" hidden="false" customHeight="true" outlineLevel="0" collapsed="false">
      <c r="B15" s="7"/>
      <c r="C15" s="7"/>
      <c r="D15" s="15" t="s">
        <v>33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0" t="n">
        <v>22</v>
      </c>
      <c r="AK15" s="11"/>
    </row>
    <row r="16" customFormat="false" ht="19.5" hidden="false" customHeight="true" outlineLevel="0" collapsed="false">
      <c r="B16" s="7"/>
      <c r="C16" s="7"/>
      <c r="D16" s="15" t="s">
        <v>35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6" t="s">
        <v>36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0" t="n">
        <v>26</v>
      </c>
      <c r="AK16" s="11"/>
    </row>
    <row r="17" customFormat="false" ht="19.5" hidden="false" customHeight="true" outlineLevel="0" collapsed="false">
      <c r="B17" s="7"/>
      <c r="C17" s="7"/>
      <c r="D17" s="16" t="s">
        <v>38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0" t="s">
        <v>39</v>
      </c>
      <c r="AH17" s="10"/>
      <c r="AI17" s="10"/>
      <c r="AJ17" s="10" t="n">
        <v>30</v>
      </c>
      <c r="AK17" s="11"/>
    </row>
    <row r="18" customFormat="false" ht="25.5" hidden="false" customHeight="true" outlineLevel="0" collapsed="false">
      <c r="B18" s="8" t="s">
        <v>192</v>
      </c>
      <c r="C18" s="8"/>
      <c r="D18" s="10" t="s">
        <v>193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 t="n">
        <v>34</v>
      </c>
      <c r="AK18" s="11" t="s">
        <v>194</v>
      </c>
    </row>
    <row r="19" customFormat="false" ht="19.5" hidden="false" customHeight="true" outlineLevel="0" collapsed="false">
      <c r="B19" s="8"/>
      <c r="C19" s="8"/>
      <c r="D19" s="10" t="s">
        <v>195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 t="n">
        <v>38</v>
      </c>
      <c r="AK19" s="11"/>
    </row>
    <row r="20" customFormat="false" ht="19.5" hidden="false" customHeight="true" outlineLevel="0" collapsed="false">
      <c r="B20" s="8" t="s">
        <v>41</v>
      </c>
      <c r="C20" s="8"/>
      <c r="D20" s="17" t="s">
        <v>42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0" t="n">
        <v>42</v>
      </c>
      <c r="AK20" s="11" t="s">
        <v>43</v>
      </c>
    </row>
    <row r="21" customFormat="false" ht="19.5" hidden="false" customHeight="true" outlineLevel="0" collapsed="false">
      <c r="B21" s="8"/>
      <c r="C21" s="8"/>
      <c r="D21" s="17" t="s">
        <v>44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0" t="n">
        <v>46</v>
      </c>
      <c r="AK21" s="11"/>
    </row>
    <row r="22" customFormat="false" ht="19.5" hidden="false" customHeight="true" outlineLevel="0" collapsed="false">
      <c r="B22" s="8"/>
      <c r="C22" s="8"/>
      <c r="D22" s="17" t="s">
        <v>45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0" t="s">
        <v>196</v>
      </c>
      <c r="AK22" s="11"/>
    </row>
    <row r="23" customFormat="false" ht="19.5" hidden="false" customHeight="true" outlineLevel="0" collapsed="false">
      <c r="B23" s="8"/>
      <c r="C23" s="8"/>
      <c r="D23" s="17" t="s">
        <v>47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0" t="n">
        <v>102</v>
      </c>
      <c r="AK23" s="11"/>
    </row>
    <row r="24" customFormat="false" ht="25.5" hidden="false" customHeight="true" outlineLevel="0" collapsed="false">
      <c r="B24" s="7" t="s">
        <v>197</v>
      </c>
      <c r="C24" s="7"/>
      <c r="D24" s="13" t="s">
        <v>188</v>
      </c>
      <c r="E24" s="13"/>
      <c r="F24" s="13"/>
      <c r="G24" s="13"/>
      <c r="H24" s="14" t="s">
        <v>64</v>
      </c>
      <c r="I24" s="14"/>
      <c r="J24" s="14"/>
      <c r="K24" s="14"/>
      <c r="L24" s="14"/>
      <c r="M24" s="14"/>
      <c r="N24" s="14"/>
      <c r="O24" s="14"/>
      <c r="P24" s="14"/>
      <c r="Q24" s="10" t="s">
        <v>189</v>
      </c>
      <c r="R24" s="10"/>
      <c r="S24" s="29" t="s">
        <v>190</v>
      </c>
      <c r="T24" s="29"/>
      <c r="U24" s="29"/>
      <c r="V24" s="29"/>
      <c r="W24" s="15" t="s">
        <v>31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0" t="n">
        <v>106</v>
      </c>
      <c r="AK24" s="11" t="s">
        <v>191</v>
      </c>
    </row>
    <row r="25" customFormat="false" ht="19.5" hidden="false" customHeight="true" outlineLevel="0" collapsed="false">
      <c r="B25" s="7"/>
      <c r="C25" s="7"/>
      <c r="D25" s="15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0" t="n">
        <v>110</v>
      </c>
      <c r="AK25" s="11"/>
    </row>
    <row r="26" customFormat="false" ht="19.5" hidden="false" customHeight="true" outlineLevel="0" collapsed="false">
      <c r="B26" s="7"/>
      <c r="C26" s="7"/>
      <c r="D26" s="15" t="s">
        <v>35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 t="s">
        <v>36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0" t="n">
        <v>114</v>
      </c>
      <c r="AK26" s="11"/>
    </row>
    <row r="27" customFormat="false" ht="19.5" hidden="false" customHeight="true" outlineLevel="0" collapsed="false">
      <c r="B27" s="7"/>
      <c r="C27" s="7"/>
      <c r="D27" s="16" t="s">
        <v>38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0" t="s">
        <v>39</v>
      </c>
      <c r="AH27" s="10"/>
      <c r="AI27" s="10"/>
      <c r="AJ27" s="10" t="n">
        <v>118</v>
      </c>
      <c r="AK27" s="11"/>
    </row>
    <row r="28" customFormat="false" ht="25.5" hidden="false" customHeight="true" outlineLevel="0" collapsed="false">
      <c r="B28" s="8" t="s">
        <v>192</v>
      </c>
      <c r="C28" s="8"/>
      <c r="D28" s="10" t="s">
        <v>193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 t="n">
        <v>122</v>
      </c>
      <c r="AK28" s="11" t="s">
        <v>194</v>
      </c>
    </row>
    <row r="29" customFormat="false" ht="19.5" hidden="false" customHeight="true" outlineLevel="0" collapsed="false">
      <c r="B29" s="8"/>
      <c r="C29" s="8"/>
      <c r="D29" s="10" t="s">
        <v>195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 t="n">
        <v>126</v>
      </c>
      <c r="AK29" s="11"/>
    </row>
    <row r="30" customFormat="false" ht="19.5" hidden="false" customHeight="true" outlineLevel="0" collapsed="false">
      <c r="B30" s="8" t="s">
        <v>41</v>
      </c>
      <c r="C30" s="8"/>
      <c r="D30" s="17" t="s">
        <v>42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0" t="n">
        <v>130</v>
      </c>
      <c r="AK30" s="11" t="s">
        <v>43</v>
      </c>
    </row>
    <row r="31" customFormat="false" ht="19.5" hidden="false" customHeight="true" outlineLevel="0" collapsed="false">
      <c r="B31" s="8"/>
      <c r="C31" s="8"/>
      <c r="D31" s="17" t="s">
        <v>44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0" t="n">
        <v>134</v>
      </c>
      <c r="AK31" s="11"/>
    </row>
    <row r="32" customFormat="false" ht="19.5" hidden="false" customHeight="true" outlineLevel="0" collapsed="false">
      <c r="B32" s="8"/>
      <c r="C32" s="8"/>
      <c r="D32" s="17" t="s">
        <v>45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0" t="s">
        <v>198</v>
      </c>
      <c r="AK32" s="11"/>
    </row>
    <row r="33" customFormat="false" ht="19.5" hidden="false" customHeight="true" outlineLevel="0" collapsed="false">
      <c r="B33" s="8"/>
      <c r="C33" s="8"/>
      <c r="D33" s="17" t="s">
        <v>47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0" t="n">
        <v>190</v>
      </c>
      <c r="AK33" s="11"/>
    </row>
    <row r="34" customFormat="false" ht="25.5" hidden="false" customHeight="true" outlineLevel="0" collapsed="false">
      <c r="B34" s="7" t="s">
        <v>199</v>
      </c>
      <c r="C34" s="7"/>
      <c r="D34" s="13" t="s">
        <v>188</v>
      </c>
      <c r="E34" s="13"/>
      <c r="F34" s="13"/>
      <c r="G34" s="13"/>
      <c r="H34" s="14" t="s">
        <v>200</v>
      </c>
      <c r="I34" s="14"/>
      <c r="J34" s="14"/>
      <c r="K34" s="14"/>
      <c r="L34" s="14"/>
      <c r="M34" s="14"/>
      <c r="N34" s="14"/>
      <c r="O34" s="14"/>
      <c r="P34" s="14"/>
      <c r="Q34" s="10" t="s">
        <v>189</v>
      </c>
      <c r="R34" s="10"/>
      <c r="S34" s="29" t="s">
        <v>190</v>
      </c>
      <c r="T34" s="29"/>
      <c r="U34" s="29"/>
      <c r="V34" s="29"/>
      <c r="W34" s="15" t="s">
        <v>31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0" t="n">
        <v>194</v>
      </c>
      <c r="AK34" s="11" t="s">
        <v>191</v>
      </c>
    </row>
    <row r="35" customFormat="false" ht="19.5" hidden="false" customHeight="true" outlineLevel="0" collapsed="false">
      <c r="B35" s="7"/>
      <c r="C35" s="7"/>
      <c r="D35" s="15" t="s">
        <v>33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0" t="n">
        <v>198</v>
      </c>
      <c r="AK35" s="11"/>
    </row>
    <row r="36" customFormat="false" ht="19.5" hidden="false" customHeight="true" outlineLevel="0" collapsed="false">
      <c r="B36" s="7"/>
      <c r="C36" s="7"/>
      <c r="D36" s="15" t="s">
        <v>35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 t="s">
        <v>36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0" t="n">
        <v>202</v>
      </c>
      <c r="AK36" s="11"/>
    </row>
    <row r="37" customFormat="false" ht="19.5" hidden="false" customHeight="true" outlineLevel="0" collapsed="false">
      <c r="B37" s="7"/>
      <c r="C37" s="7"/>
      <c r="D37" s="16" t="s">
        <v>38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0" t="s">
        <v>39</v>
      </c>
      <c r="AH37" s="10"/>
      <c r="AI37" s="10"/>
      <c r="AJ37" s="10" t="n">
        <v>206</v>
      </c>
      <c r="AK37" s="11"/>
    </row>
    <row r="38" customFormat="false" ht="25.5" hidden="false" customHeight="true" outlineLevel="0" collapsed="false">
      <c r="B38" s="8" t="s">
        <v>192</v>
      </c>
      <c r="C38" s="8"/>
      <c r="D38" s="10" t="s">
        <v>193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 t="n">
        <v>210</v>
      </c>
      <c r="AK38" s="11" t="s">
        <v>194</v>
      </c>
    </row>
    <row r="39" customFormat="false" ht="19.5" hidden="false" customHeight="true" outlineLevel="0" collapsed="false">
      <c r="B39" s="8"/>
      <c r="C39" s="8"/>
      <c r="D39" s="10" t="s">
        <v>195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 t="n">
        <v>214</v>
      </c>
      <c r="AK39" s="11"/>
    </row>
    <row r="40" customFormat="false" ht="19.5" hidden="false" customHeight="true" outlineLevel="0" collapsed="false">
      <c r="B40" s="8" t="s">
        <v>41</v>
      </c>
      <c r="C40" s="8"/>
      <c r="D40" s="17" t="s">
        <v>42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0" t="n">
        <v>218</v>
      </c>
      <c r="AK40" s="11" t="s">
        <v>43</v>
      </c>
    </row>
    <row r="41" customFormat="false" ht="19.5" hidden="false" customHeight="true" outlineLevel="0" collapsed="false">
      <c r="B41" s="8"/>
      <c r="C41" s="8"/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0" t="n">
        <v>222</v>
      </c>
      <c r="AK41" s="11"/>
    </row>
    <row r="42" customFormat="false" ht="19.5" hidden="false" customHeight="true" outlineLevel="0" collapsed="false">
      <c r="B42" s="8"/>
      <c r="C42" s="8"/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0" t="s">
        <v>201</v>
      </c>
      <c r="AK42" s="11"/>
    </row>
    <row r="43" customFormat="false" ht="19.5" hidden="false" customHeight="true" outlineLevel="0" collapsed="false">
      <c r="B43" s="8"/>
      <c r="C43" s="8"/>
      <c r="D43" s="17" t="s">
        <v>47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0" t="n">
        <v>278</v>
      </c>
      <c r="AK43" s="11"/>
    </row>
    <row r="44" customFormat="false" ht="25.5" hidden="false" customHeight="true" outlineLevel="0" collapsed="false">
      <c r="B44" s="7" t="s">
        <v>202</v>
      </c>
      <c r="C44" s="7"/>
      <c r="D44" s="13" t="s">
        <v>188</v>
      </c>
      <c r="E44" s="13"/>
      <c r="F44" s="13"/>
      <c r="G44" s="13"/>
      <c r="H44" s="14" t="s">
        <v>203</v>
      </c>
      <c r="I44" s="14"/>
      <c r="J44" s="14"/>
      <c r="K44" s="14"/>
      <c r="L44" s="14"/>
      <c r="M44" s="14"/>
      <c r="N44" s="14"/>
      <c r="O44" s="14"/>
      <c r="P44" s="14"/>
      <c r="Q44" s="10" t="s">
        <v>189</v>
      </c>
      <c r="R44" s="10"/>
      <c r="S44" s="29" t="s">
        <v>190</v>
      </c>
      <c r="T44" s="29"/>
      <c r="U44" s="29"/>
      <c r="V44" s="29"/>
      <c r="W44" s="15" t="s">
        <v>31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0" t="n">
        <v>282</v>
      </c>
      <c r="AK44" s="11" t="s">
        <v>191</v>
      </c>
    </row>
    <row r="45" customFormat="false" ht="19.5" hidden="false" customHeight="true" outlineLevel="0" collapsed="false">
      <c r="B45" s="7"/>
      <c r="C45" s="7"/>
      <c r="D45" s="15" t="s">
        <v>33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0" t="n">
        <v>286</v>
      </c>
      <c r="AK45" s="11"/>
    </row>
    <row r="46" customFormat="false" ht="19.5" hidden="false" customHeight="true" outlineLevel="0" collapsed="false">
      <c r="B46" s="7"/>
      <c r="C46" s="7"/>
      <c r="D46" s="15" t="s">
        <v>35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 t="s">
        <v>36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0" t="n">
        <v>290</v>
      </c>
      <c r="AK46" s="11"/>
    </row>
    <row r="47" customFormat="false" ht="19.5" hidden="false" customHeight="true" outlineLevel="0" collapsed="false">
      <c r="B47" s="7"/>
      <c r="C47" s="7"/>
      <c r="D47" s="16" t="s">
        <v>38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0" t="s">
        <v>39</v>
      </c>
      <c r="AH47" s="10"/>
      <c r="AI47" s="10"/>
      <c r="AJ47" s="10" t="n">
        <v>294</v>
      </c>
      <c r="AK47" s="11"/>
    </row>
    <row r="48" customFormat="false" ht="25.5" hidden="false" customHeight="true" outlineLevel="0" collapsed="false">
      <c r="B48" s="8" t="s">
        <v>192</v>
      </c>
      <c r="C48" s="8"/>
      <c r="D48" s="10" t="s">
        <v>193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 t="n">
        <v>298</v>
      </c>
      <c r="AK48" s="11" t="s">
        <v>194</v>
      </c>
    </row>
    <row r="49" customFormat="false" ht="19.5" hidden="false" customHeight="true" outlineLevel="0" collapsed="false">
      <c r="B49" s="8"/>
      <c r="C49" s="8"/>
      <c r="D49" s="10" t="s">
        <v>195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 t="n">
        <v>302</v>
      </c>
      <c r="AK49" s="11"/>
    </row>
    <row r="50" customFormat="false" ht="19.5" hidden="false" customHeight="true" outlineLevel="0" collapsed="false">
      <c r="B50" s="8" t="s">
        <v>41</v>
      </c>
      <c r="C50" s="8"/>
      <c r="D50" s="17" t="s">
        <v>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0" t="n">
        <v>306</v>
      </c>
      <c r="AK50" s="11" t="s">
        <v>43</v>
      </c>
    </row>
    <row r="51" customFormat="false" ht="19.5" hidden="false" customHeight="true" outlineLevel="0" collapsed="false">
      <c r="B51" s="8"/>
      <c r="C51" s="8"/>
      <c r="D51" s="17" t="s">
        <v>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0" t="n">
        <v>310</v>
      </c>
      <c r="AK51" s="11"/>
    </row>
    <row r="52" customFormat="false" ht="19.5" hidden="false" customHeight="true" outlineLevel="0" collapsed="false">
      <c r="B52" s="8"/>
      <c r="C52" s="8"/>
      <c r="D52" s="17" t="s">
        <v>45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0" t="s">
        <v>65</v>
      </c>
      <c r="AK52" s="11"/>
    </row>
    <row r="53" customFormat="false" ht="19.5" hidden="false" customHeight="true" outlineLevel="0" collapsed="false">
      <c r="B53" s="8"/>
      <c r="C53" s="8"/>
      <c r="D53" s="17" t="s">
        <v>47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0" t="n">
        <v>366</v>
      </c>
      <c r="AK53" s="11"/>
    </row>
    <row r="54" customFormat="false" ht="25.5" hidden="false" customHeight="true" outlineLevel="0" collapsed="false">
      <c r="B54" s="7" t="s">
        <v>204</v>
      </c>
      <c r="C54" s="7"/>
      <c r="D54" s="13" t="s">
        <v>188</v>
      </c>
      <c r="E54" s="13"/>
      <c r="F54" s="13"/>
      <c r="G54" s="13"/>
      <c r="H54" s="14" t="s">
        <v>205</v>
      </c>
      <c r="I54" s="14"/>
      <c r="J54" s="14"/>
      <c r="K54" s="14"/>
      <c r="L54" s="14"/>
      <c r="M54" s="14"/>
      <c r="N54" s="14"/>
      <c r="O54" s="14"/>
      <c r="P54" s="14"/>
      <c r="Q54" s="10" t="s">
        <v>189</v>
      </c>
      <c r="R54" s="10"/>
      <c r="S54" s="29" t="s">
        <v>190</v>
      </c>
      <c r="T54" s="29"/>
      <c r="U54" s="29"/>
      <c r="V54" s="29"/>
      <c r="W54" s="15" t="s">
        <v>31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0" t="n">
        <v>370</v>
      </c>
      <c r="AK54" s="11" t="s">
        <v>191</v>
      </c>
    </row>
    <row r="55" customFormat="false" ht="19.5" hidden="false" customHeight="true" outlineLevel="0" collapsed="false">
      <c r="B55" s="7"/>
      <c r="C55" s="7"/>
      <c r="D55" s="15" t="s">
        <v>33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0" t="n">
        <v>374</v>
      </c>
      <c r="AK55" s="11"/>
    </row>
    <row r="56" customFormat="false" ht="19.5" hidden="false" customHeight="true" outlineLevel="0" collapsed="false">
      <c r="B56" s="7"/>
      <c r="C56" s="7"/>
      <c r="D56" s="15" t="s">
        <v>35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 t="s">
        <v>36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0" t="n">
        <v>378</v>
      </c>
      <c r="AK56" s="11"/>
    </row>
    <row r="57" customFormat="false" ht="19.5" hidden="false" customHeight="true" outlineLevel="0" collapsed="false">
      <c r="B57" s="7"/>
      <c r="C57" s="7"/>
      <c r="D57" s="16" t="s">
        <v>38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0" t="s">
        <v>39</v>
      </c>
      <c r="AH57" s="10"/>
      <c r="AI57" s="10"/>
      <c r="AJ57" s="10" t="n">
        <v>382</v>
      </c>
      <c r="AK57" s="11"/>
    </row>
    <row r="58" customFormat="false" ht="25.5" hidden="false" customHeight="true" outlineLevel="0" collapsed="false">
      <c r="B58" s="8" t="s">
        <v>192</v>
      </c>
      <c r="C58" s="8"/>
      <c r="D58" s="10" t="s">
        <v>193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 t="n">
        <v>386</v>
      </c>
      <c r="AK58" s="11" t="s">
        <v>194</v>
      </c>
    </row>
    <row r="59" customFormat="false" ht="19.5" hidden="false" customHeight="true" outlineLevel="0" collapsed="false">
      <c r="B59" s="8"/>
      <c r="C59" s="8"/>
      <c r="D59" s="10" t="s">
        <v>195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 t="n">
        <v>390</v>
      </c>
      <c r="AK59" s="11"/>
    </row>
    <row r="60" customFormat="false" ht="19.5" hidden="false" customHeight="true" outlineLevel="0" collapsed="false">
      <c r="B60" s="8" t="s">
        <v>41</v>
      </c>
      <c r="C60" s="8"/>
      <c r="D60" s="17" t="s">
        <v>42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0" t="n">
        <v>394</v>
      </c>
      <c r="AK60" s="11" t="s">
        <v>43</v>
      </c>
    </row>
    <row r="61" customFormat="false" ht="19.5" hidden="false" customHeight="true" outlineLevel="0" collapsed="false">
      <c r="B61" s="8"/>
      <c r="C61" s="8"/>
      <c r="D61" s="17" t="s">
        <v>44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0" t="n">
        <v>398</v>
      </c>
      <c r="AK61" s="11"/>
    </row>
    <row r="62" customFormat="false" ht="19.5" hidden="false" customHeight="true" outlineLevel="0" collapsed="false">
      <c r="B62" s="8"/>
      <c r="C62" s="8"/>
      <c r="D62" s="17" t="s">
        <v>45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0" t="s">
        <v>206</v>
      </c>
      <c r="AK62" s="11"/>
    </row>
    <row r="63" customFormat="false" ht="19.5" hidden="false" customHeight="true" outlineLevel="0" collapsed="false">
      <c r="B63" s="8"/>
      <c r="C63" s="8"/>
      <c r="D63" s="17" t="s">
        <v>47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0" t="n">
        <v>454</v>
      </c>
      <c r="AK63" s="11"/>
    </row>
    <row r="64" customFormat="false" ht="25.5" hidden="false" customHeight="true" outlineLevel="0" collapsed="false">
      <c r="B64" s="7" t="s">
        <v>207</v>
      </c>
      <c r="C64" s="7"/>
      <c r="D64" s="13" t="s">
        <v>188</v>
      </c>
      <c r="E64" s="13"/>
      <c r="F64" s="13"/>
      <c r="G64" s="13"/>
      <c r="H64" s="14" t="s">
        <v>208</v>
      </c>
      <c r="I64" s="14"/>
      <c r="J64" s="14"/>
      <c r="K64" s="14"/>
      <c r="L64" s="14"/>
      <c r="M64" s="14"/>
      <c r="N64" s="14"/>
      <c r="O64" s="14"/>
      <c r="P64" s="14"/>
      <c r="Q64" s="10" t="s">
        <v>189</v>
      </c>
      <c r="R64" s="10"/>
      <c r="S64" s="29" t="s">
        <v>190</v>
      </c>
      <c r="T64" s="29"/>
      <c r="U64" s="29"/>
      <c r="V64" s="29"/>
      <c r="W64" s="15" t="s">
        <v>31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0" t="n">
        <v>458</v>
      </c>
      <c r="AK64" s="11" t="s">
        <v>191</v>
      </c>
    </row>
    <row r="65" customFormat="false" ht="19.5" hidden="false" customHeight="true" outlineLevel="0" collapsed="false">
      <c r="B65" s="7"/>
      <c r="C65" s="7"/>
      <c r="D65" s="15" t="s">
        <v>33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0" t="n">
        <v>462</v>
      </c>
      <c r="AK65" s="11"/>
    </row>
    <row r="66" customFormat="false" ht="19.5" hidden="false" customHeight="true" outlineLevel="0" collapsed="false">
      <c r="B66" s="7"/>
      <c r="C66" s="7"/>
      <c r="D66" s="15" t="s">
        <v>35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6" t="s">
        <v>36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0" t="n">
        <v>466</v>
      </c>
      <c r="AK66" s="11"/>
    </row>
    <row r="67" customFormat="false" ht="19.5" hidden="false" customHeight="true" outlineLevel="0" collapsed="false">
      <c r="B67" s="7"/>
      <c r="C67" s="7"/>
      <c r="D67" s="16" t="s">
        <v>38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0" t="s">
        <v>39</v>
      </c>
      <c r="AH67" s="10"/>
      <c r="AI67" s="10"/>
      <c r="AJ67" s="10" t="n">
        <v>470</v>
      </c>
      <c r="AK67" s="11"/>
    </row>
    <row r="68" customFormat="false" ht="25.5" hidden="false" customHeight="true" outlineLevel="0" collapsed="false">
      <c r="B68" s="8" t="s">
        <v>192</v>
      </c>
      <c r="C68" s="8"/>
      <c r="D68" s="10" t="s">
        <v>193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 t="n">
        <v>474</v>
      </c>
      <c r="AK68" s="11" t="s">
        <v>194</v>
      </c>
    </row>
    <row r="69" customFormat="false" ht="19.5" hidden="false" customHeight="true" outlineLevel="0" collapsed="false">
      <c r="B69" s="8"/>
      <c r="C69" s="8"/>
      <c r="D69" s="10" t="s">
        <v>195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 t="n">
        <v>478</v>
      </c>
      <c r="AK69" s="11"/>
    </row>
    <row r="70" customFormat="false" ht="19.5" hidden="false" customHeight="true" outlineLevel="0" collapsed="false">
      <c r="B70" s="8" t="s">
        <v>41</v>
      </c>
      <c r="C70" s="8"/>
      <c r="D70" s="17" t="s">
        <v>42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0" t="n">
        <v>482</v>
      </c>
      <c r="AK70" s="11" t="s">
        <v>43</v>
      </c>
    </row>
    <row r="71" customFormat="false" ht="19.5" hidden="false" customHeight="true" outlineLevel="0" collapsed="false">
      <c r="B71" s="8"/>
      <c r="C71" s="8"/>
      <c r="D71" s="17" t="s">
        <v>44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0" t="n">
        <v>486</v>
      </c>
      <c r="AK71" s="11"/>
    </row>
    <row r="72" customFormat="false" ht="19.5" hidden="false" customHeight="true" outlineLevel="0" collapsed="false">
      <c r="B72" s="8"/>
      <c r="C72" s="8"/>
      <c r="D72" s="17" t="s">
        <v>45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0" t="s">
        <v>209</v>
      </c>
      <c r="AK72" s="11"/>
    </row>
    <row r="73" customFormat="false" ht="19.5" hidden="false" customHeight="true" outlineLevel="0" collapsed="false">
      <c r="B73" s="8"/>
      <c r="C73" s="8"/>
      <c r="D73" s="17" t="s">
        <v>47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0" t="n">
        <v>542</v>
      </c>
      <c r="AK73" s="11"/>
    </row>
    <row r="74" customFormat="false" ht="25.5" hidden="false" customHeight="true" outlineLevel="0" collapsed="false">
      <c r="B74" s="7" t="s">
        <v>210</v>
      </c>
      <c r="C74" s="7"/>
      <c r="D74" s="13" t="s">
        <v>188</v>
      </c>
      <c r="E74" s="13"/>
      <c r="F74" s="13"/>
      <c r="G74" s="13"/>
      <c r="H74" s="14" t="s">
        <v>211</v>
      </c>
      <c r="I74" s="14"/>
      <c r="J74" s="14"/>
      <c r="K74" s="14"/>
      <c r="L74" s="14"/>
      <c r="M74" s="14"/>
      <c r="N74" s="14"/>
      <c r="O74" s="14"/>
      <c r="P74" s="14"/>
      <c r="Q74" s="10" t="s">
        <v>189</v>
      </c>
      <c r="R74" s="10"/>
      <c r="S74" s="29" t="s">
        <v>190</v>
      </c>
      <c r="T74" s="29"/>
      <c r="U74" s="29"/>
      <c r="V74" s="29"/>
      <c r="W74" s="15" t="s">
        <v>31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0" t="n">
        <v>546</v>
      </c>
      <c r="AK74" s="11" t="s">
        <v>191</v>
      </c>
    </row>
    <row r="75" customFormat="false" ht="19.5" hidden="false" customHeight="true" outlineLevel="0" collapsed="false">
      <c r="B75" s="7"/>
      <c r="C75" s="7"/>
      <c r="D75" s="15" t="s">
        <v>33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0" t="n">
        <v>550</v>
      </c>
      <c r="AK75" s="11"/>
    </row>
    <row r="76" customFormat="false" ht="19.5" hidden="false" customHeight="true" outlineLevel="0" collapsed="false">
      <c r="B76" s="7"/>
      <c r="C76" s="7"/>
      <c r="D76" s="15" t="s">
        <v>35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 t="s">
        <v>36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0" t="n">
        <v>554</v>
      </c>
      <c r="AK76" s="11"/>
    </row>
    <row r="77" customFormat="false" ht="19.5" hidden="false" customHeight="true" outlineLevel="0" collapsed="false">
      <c r="B77" s="7"/>
      <c r="C77" s="7"/>
      <c r="D77" s="16" t="s">
        <v>38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0" t="s">
        <v>39</v>
      </c>
      <c r="AH77" s="10"/>
      <c r="AI77" s="10"/>
      <c r="AJ77" s="10" t="n">
        <v>558</v>
      </c>
      <c r="AK77" s="11"/>
    </row>
    <row r="78" customFormat="false" ht="25.5" hidden="false" customHeight="true" outlineLevel="0" collapsed="false">
      <c r="B78" s="8" t="s">
        <v>192</v>
      </c>
      <c r="C78" s="8"/>
      <c r="D78" s="10" t="s">
        <v>193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 t="n">
        <v>562</v>
      </c>
      <c r="AK78" s="11" t="s">
        <v>194</v>
      </c>
    </row>
    <row r="79" customFormat="false" ht="19.5" hidden="false" customHeight="true" outlineLevel="0" collapsed="false">
      <c r="B79" s="8"/>
      <c r="C79" s="8"/>
      <c r="D79" s="10" t="s">
        <v>195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 t="n">
        <v>566</v>
      </c>
      <c r="AK79" s="11"/>
    </row>
    <row r="80" customFormat="false" ht="19.5" hidden="false" customHeight="true" outlineLevel="0" collapsed="false">
      <c r="B80" s="8" t="s">
        <v>41</v>
      </c>
      <c r="C80" s="8"/>
      <c r="D80" s="17" t="s">
        <v>42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0" t="n">
        <v>570</v>
      </c>
      <c r="AK80" s="11" t="s">
        <v>43</v>
      </c>
    </row>
    <row r="81" customFormat="false" ht="19.5" hidden="false" customHeight="true" outlineLevel="0" collapsed="false">
      <c r="B81" s="8"/>
      <c r="C81" s="8"/>
      <c r="D81" s="17" t="s">
        <v>44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0" t="n">
        <v>574</v>
      </c>
      <c r="AK81" s="11"/>
    </row>
    <row r="82" customFormat="false" ht="19.5" hidden="false" customHeight="true" outlineLevel="0" collapsed="false">
      <c r="B82" s="8"/>
      <c r="C82" s="8"/>
      <c r="D82" s="17" t="s">
        <v>45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0" t="s">
        <v>212</v>
      </c>
      <c r="AK82" s="11"/>
    </row>
    <row r="83" customFormat="false" ht="19.5" hidden="false" customHeight="true" outlineLevel="0" collapsed="false">
      <c r="B83" s="8"/>
      <c r="C83" s="8"/>
      <c r="D83" s="17" t="s">
        <v>47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0" t="n">
        <v>630</v>
      </c>
      <c r="AK83" s="11"/>
    </row>
    <row r="84" customFormat="false" ht="25.5" hidden="false" customHeight="true" outlineLevel="0" collapsed="false">
      <c r="B84" s="7" t="s">
        <v>213</v>
      </c>
      <c r="C84" s="7"/>
      <c r="D84" s="13" t="s">
        <v>188</v>
      </c>
      <c r="E84" s="13"/>
      <c r="F84" s="13"/>
      <c r="G84" s="13"/>
      <c r="H84" s="14" t="s">
        <v>214</v>
      </c>
      <c r="I84" s="14"/>
      <c r="J84" s="14"/>
      <c r="K84" s="14"/>
      <c r="L84" s="14"/>
      <c r="M84" s="14"/>
      <c r="N84" s="14"/>
      <c r="O84" s="14"/>
      <c r="P84" s="14"/>
      <c r="Q84" s="10" t="s">
        <v>189</v>
      </c>
      <c r="R84" s="10"/>
      <c r="S84" s="29" t="s">
        <v>190</v>
      </c>
      <c r="T84" s="29"/>
      <c r="U84" s="29"/>
      <c r="V84" s="29"/>
      <c r="W84" s="15" t="s">
        <v>31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0" t="n">
        <v>634</v>
      </c>
      <c r="AK84" s="11" t="s">
        <v>191</v>
      </c>
    </row>
    <row r="85" customFormat="false" ht="19.5" hidden="false" customHeight="true" outlineLevel="0" collapsed="false">
      <c r="B85" s="7"/>
      <c r="C85" s="7"/>
      <c r="D85" s="15" t="s">
        <v>33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0" t="n">
        <v>638</v>
      </c>
      <c r="AK85" s="11"/>
    </row>
    <row r="86" customFormat="false" ht="19.5" hidden="false" customHeight="true" outlineLevel="0" collapsed="false">
      <c r="B86" s="7"/>
      <c r="C86" s="7"/>
      <c r="D86" s="15" t="s">
        <v>35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 t="s">
        <v>36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0" t="n">
        <v>642</v>
      </c>
      <c r="AK86" s="11"/>
    </row>
    <row r="87" customFormat="false" ht="19.5" hidden="false" customHeight="true" outlineLevel="0" collapsed="false">
      <c r="B87" s="7"/>
      <c r="C87" s="7"/>
      <c r="D87" s="16" t="s">
        <v>38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0" t="s">
        <v>39</v>
      </c>
      <c r="AH87" s="10"/>
      <c r="AI87" s="10"/>
      <c r="AJ87" s="10" t="n">
        <v>646</v>
      </c>
      <c r="AK87" s="11"/>
    </row>
    <row r="88" customFormat="false" ht="25.5" hidden="false" customHeight="true" outlineLevel="0" collapsed="false">
      <c r="B88" s="8" t="s">
        <v>192</v>
      </c>
      <c r="C88" s="8"/>
      <c r="D88" s="10" t="s">
        <v>193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 t="n">
        <v>650</v>
      </c>
      <c r="AK88" s="11" t="s">
        <v>194</v>
      </c>
    </row>
    <row r="89" customFormat="false" ht="19.5" hidden="false" customHeight="true" outlineLevel="0" collapsed="false">
      <c r="B89" s="8"/>
      <c r="C89" s="8"/>
      <c r="D89" s="10" t="s">
        <v>195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 t="n">
        <v>654</v>
      </c>
      <c r="AK89" s="11"/>
    </row>
    <row r="90" customFormat="false" ht="19.5" hidden="false" customHeight="true" outlineLevel="0" collapsed="false">
      <c r="B90" s="8" t="s">
        <v>41</v>
      </c>
      <c r="C90" s="8"/>
      <c r="D90" s="17" t="s">
        <v>42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0" t="n">
        <v>658</v>
      </c>
      <c r="AK90" s="11" t="s">
        <v>43</v>
      </c>
    </row>
    <row r="91" customFormat="false" ht="19.5" hidden="false" customHeight="true" outlineLevel="0" collapsed="false">
      <c r="B91" s="8"/>
      <c r="C91" s="8"/>
      <c r="D91" s="17" t="s">
        <v>44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0" t="n">
        <v>662</v>
      </c>
      <c r="AK91" s="11"/>
    </row>
    <row r="92" customFormat="false" ht="19.5" hidden="false" customHeight="true" outlineLevel="0" collapsed="false">
      <c r="B92" s="8"/>
      <c r="C92" s="8"/>
      <c r="D92" s="17" t="s">
        <v>45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0" t="s">
        <v>215</v>
      </c>
      <c r="AK92" s="11"/>
    </row>
    <row r="93" customFormat="false" ht="19.5" hidden="false" customHeight="true" outlineLevel="0" collapsed="false">
      <c r="B93" s="8"/>
      <c r="C93" s="8"/>
      <c r="D93" s="17" t="s">
        <v>47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0" t="n">
        <v>718</v>
      </c>
      <c r="AK93" s="11"/>
    </row>
    <row r="94" customFormat="false" ht="19.5" hidden="false" customHeight="true" outlineLevel="0" collapsed="false">
      <c r="B94" s="8" t="s">
        <v>69</v>
      </c>
      <c r="C94" s="8"/>
      <c r="D94" s="18" t="s">
        <v>70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0" t="n">
        <v>722</v>
      </c>
      <c r="AK94" s="19" t="s">
        <v>71</v>
      </c>
    </row>
    <row r="96" customFormat="false" ht="17.15" hidden="false" customHeight="false" outlineLevel="0" collapsed="false">
      <c r="B96" s="20" t="s">
        <v>72</v>
      </c>
    </row>
    <row r="97" customFormat="false" ht="15" hidden="false" customHeight="false" outlineLevel="0" collapsed="false">
      <c r="B97" s="21" t="s">
        <v>73</v>
      </c>
      <c r="C97" s="22" t="n">
        <v>8</v>
      </c>
      <c r="D97" s="23" t="s">
        <v>74</v>
      </c>
    </row>
    <row r="98" customFormat="false" ht="15" hidden="false" customHeight="false" outlineLevel="0" collapsed="false">
      <c r="B98" s="21" t="s">
        <v>75</v>
      </c>
      <c r="C98" s="22" t="n">
        <v>1</v>
      </c>
      <c r="D98" s="23" t="s">
        <v>76</v>
      </c>
    </row>
    <row r="99" customFormat="false" ht="15" hidden="false" customHeight="false" outlineLevel="0" collapsed="false">
      <c r="B99" s="21" t="s">
        <v>77</v>
      </c>
      <c r="C99" s="22" t="n">
        <v>8</v>
      </c>
      <c r="D99" s="23" t="s">
        <v>78</v>
      </c>
    </row>
    <row r="100" customFormat="false" ht="15" hidden="false" customHeight="false" outlineLevel="0" collapsed="false">
      <c r="B100" s="21" t="s">
        <v>79</v>
      </c>
      <c r="C100" s="22" t="n">
        <v>100</v>
      </c>
      <c r="D100" s="23" t="s">
        <v>80</v>
      </c>
    </row>
    <row r="101" customFormat="false" ht="15" hidden="false" customHeight="false" outlineLevel="0" collapsed="false">
      <c r="B101" s="21" t="s">
        <v>81</v>
      </c>
      <c r="C101" s="22" t="n">
        <v>511</v>
      </c>
      <c r="D101" s="23" t="s">
        <v>82</v>
      </c>
    </row>
    <row r="102" customFormat="false" ht="15" hidden="false" customHeight="false" outlineLevel="0" collapsed="false">
      <c r="B102" s="21" t="s">
        <v>83</v>
      </c>
      <c r="C102" s="24" t="n">
        <f aca="false">C97*C98</f>
        <v>8</v>
      </c>
      <c r="D102" s="23"/>
    </row>
    <row r="103" customFormat="false" ht="15" hidden="false" customHeight="false" outlineLevel="0" collapsed="false">
      <c r="B103" s="25" t="s">
        <v>84</v>
      </c>
      <c r="C103" s="24" t="n">
        <f aca="false">C97*(16+C98*(64+C99))</f>
        <v>704</v>
      </c>
      <c r="D103" s="23" t="s">
        <v>85</v>
      </c>
    </row>
    <row r="104" customFormat="false" ht="15" hidden="false" customHeight="false" outlineLevel="0" collapsed="false">
      <c r="B104" s="21" t="s">
        <v>86</v>
      </c>
      <c r="C104" s="24" t="n">
        <f aca="false">MAX(60,18+C103)+4</f>
        <v>726</v>
      </c>
      <c r="D104" s="23" t="s">
        <v>87</v>
      </c>
    </row>
    <row r="105" customFormat="false" ht="15" hidden="false" customHeight="false" outlineLevel="0" collapsed="false">
      <c r="B105" s="21" t="s">
        <v>88</v>
      </c>
      <c r="C105" s="24" t="n">
        <f aca="false">C104+20</f>
        <v>746</v>
      </c>
      <c r="D105" s="26" t="s">
        <v>89</v>
      </c>
    </row>
    <row r="106" customFormat="false" ht="15" hidden="false" customHeight="false" outlineLevel="0" collapsed="false">
      <c r="B106" s="21" t="s">
        <v>90</v>
      </c>
      <c r="C106" s="27" t="n">
        <f aca="false">C100*1000/(C105*8)</f>
        <v>16.7560321715818</v>
      </c>
      <c r="D106" s="23"/>
    </row>
    <row r="107" customFormat="false" ht="15" hidden="false" customHeight="false" outlineLevel="0" collapsed="false">
      <c r="B107" s="21" t="s">
        <v>91</v>
      </c>
      <c r="C107" s="27" t="n">
        <f aca="false">C105*8/C100/C97</f>
        <v>7.46</v>
      </c>
      <c r="D107" s="23"/>
    </row>
    <row r="108" customFormat="false" ht="15" hidden="false" customHeight="false" outlineLevel="0" collapsed="false">
      <c r="B108" s="25" t="s">
        <v>92</v>
      </c>
      <c r="C108" s="27" t="n">
        <f aca="false">C101*C107/1000</f>
        <v>3.81206</v>
      </c>
      <c r="D108" s="23" t="s">
        <v>93</v>
      </c>
    </row>
  </sheetData>
  <mergeCells count="168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7"/>
    <mergeCell ref="D14:G14"/>
    <mergeCell ref="H14:P14"/>
    <mergeCell ref="Q14:R14"/>
    <mergeCell ref="S14:V14"/>
    <mergeCell ref="W14:AI14"/>
    <mergeCell ref="D15:AI15"/>
    <mergeCell ref="D16:O16"/>
    <mergeCell ref="P16:AI16"/>
    <mergeCell ref="D17:AF17"/>
    <mergeCell ref="AG17:AI17"/>
    <mergeCell ref="B18:C19"/>
    <mergeCell ref="D18:AI18"/>
    <mergeCell ref="D19:AI19"/>
    <mergeCell ref="B20:C23"/>
    <mergeCell ref="D20:AI20"/>
    <mergeCell ref="D21:AI21"/>
    <mergeCell ref="D22:AI22"/>
    <mergeCell ref="D23:AI23"/>
    <mergeCell ref="B24:C27"/>
    <mergeCell ref="D24:G24"/>
    <mergeCell ref="H24:P24"/>
    <mergeCell ref="Q24:R24"/>
    <mergeCell ref="S24:V24"/>
    <mergeCell ref="W24:AI24"/>
    <mergeCell ref="D25:AI25"/>
    <mergeCell ref="D26:O26"/>
    <mergeCell ref="P26:AI26"/>
    <mergeCell ref="D27:AF27"/>
    <mergeCell ref="AG27:AI27"/>
    <mergeCell ref="B28:C29"/>
    <mergeCell ref="D28:AI28"/>
    <mergeCell ref="D29:AI29"/>
    <mergeCell ref="B30:C33"/>
    <mergeCell ref="D30:AI30"/>
    <mergeCell ref="D31:AI31"/>
    <mergeCell ref="D32:AI32"/>
    <mergeCell ref="D33:AI33"/>
    <mergeCell ref="B34:C37"/>
    <mergeCell ref="D34:G34"/>
    <mergeCell ref="H34:P34"/>
    <mergeCell ref="Q34:R34"/>
    <mergeCell ref="S34:V34"/>
    <mergeCell ref="W34:AI34"/>
    <mergeCell ref="D35:AI35"/>
    <mergeCell ref="D36:O36"/>
    <mergeCell ref="P36:AI36"/>
    <mergeCell ref="D37:AF37"/>
    <mergeCell ref="AG37:AI37"/>
    <mergeCell ref="B38:C39"/>
    <mergeCell ref="D38:AI38"/>
    <mergeCell ref="D39:AI39"/>
    <mergeCell ref="B40:C43"/>
    <mergeCell ref="D40:AI40"/>
    <mergeCell ref="D41:AI41"/>
    <mergeCell ref="D42:AI42"/>
    <mergeCell ref="D43:AI43"/>
    <mergeCell ref="B44:C47"/>
    <mergeCell ref="D44:G44"/>
    <mergeCell ref="H44:P44"/>
    <mergeCell ref="Q44:R44"/>
    <mergeCell ref="S44:V44"/>
    <mergeCell ref="W44:AI44"/>
    <mergeCell ref="D45:AI45"/>
    <mergeCell ref="D46:O46"/>
    <mergeCell ref="P46:AI46"/>
    <mergeCell ref="D47:AF47"/>
    <mergeCell ref="AG47:AI47"/>
    <mergeCell ref="B48:C49"/>
    <mergeCell ref="D48:AI48"/>
    <mergeCell ref="D49:AI49"/>
    <mergeCell ref="B50:C53"/>
    <mergeCell ref="D50:AI50"/>
    <mergeCell ref="D51:AI51"/>
    <mergeCell ref="D52:AI52"/>
    <mergeCell ref="D53:AI53"/>
    <mergeCell ref="B54:C57"/>
    <mergeCell ref="D54:G54"/>
    <mergeCell ref="H54:P54"/>
    <mergeCell ref="Q54:R54"/>
    <mergeCell ref="S54:V54"/>
    <mergeCell ref="W54:AI54"/>
    <mergeCell ref="D55:AI55"/>
    <mergeCell ref="D56:O56"/>
    <mergeCell ref="P56:AI56"/>
    <mergeCell ref="D57:AF57"/>
    <mergeCell ref="AG57:AI57"/>
    <mergeCell ref="B58:C59"/>
    <mergeCell ref="D58:AI58"/>
    <mergeCell ref="D59:AI59"/>
    <mergeCell ref="B60:C63"/>
    <mergeCell ref="D60:AI60"/>
    <mergeCell ref="D61:AI61"/>
    <mergeCell ref="D62:AI62"/>
    <mergeCell ref="D63:AI63"/>
    <mergeCell ref="B64:C67"/>
    <mergeCell ref="D64:G64"/>
    <mergeCell ref="H64:P64"/>
    <mergeCell ref="Q64:R64"/>
    <mergeCell ref="S64:V64"/>
    <mergeCell ref="W64:AI64"/>
    <mergeCell ref="D65:AI65"/>
    <mergeCell ref="D66:O66"/>
    <mergeCell ref="P66:AI66"/>
    <mergeCell ref="D67:AF67"/>
    <mergeCell ref="AG67:AI67"/>
    <mergeCell ref="B68:C69"/>
    <mergeCell ref="D68:AI68"/>
    <mergeCell ref="D69:AI69"/>
    <mergeCell ref="B70:C73"/>
    <mergeCell ref="D70:AI70"/>
    <mergeCell ref="D71:AI71"/>
    <mergeCell ref="D72:AI72"/>
    <mergeCell ref="D73:AI73"/>
    <mergeCell ref="B74:C77"/>
    <mergeCell ref="D74:G74"/>
    <mergeCell ref="H74:P74"/>
    <mergeCell ref="Q74:R74"/>
    <mergeCell ref="S74:V74"/>
    <mergeCell ref="W74:AI74"/>
    <mergeCell ref="D75:AI75"/>
    <mergeCell ref="D76:O76"/>
    <mergeCell ref="P76:AI76"/>
    <mergeCell ref="D77:AF77"/>
    <mergeCell ref="AG77:AI77"/>
    <mergeCell ref="B78:C79"/>
    <mergeCell ref="D78:AI78"/>
    <mergeCell ref="D79:AI79"/>
    <mergeCell ref="B80:C83"/>
    <mergeCell ref="D80:AI80"/>
    <mergeCell ref="D81:AI81"/>
    <mergeCell ref="D82:AI82"/>
    <mergeCell ref="D83:AI83"/>
    <mergeCell ref="B84:C87"/>
    <mergeCell ref="D84:G84"/>
    <mergeCell ref="H84:P84"/>
    <mergeCell ref="Q84:R84"/>
    <mergeCell ref="S84:V84"/>
    <mergeCell ref="W84:AI84"/>
    <mergeCell ref="D85:AI85"/>
    <mergeCell ref="D86:O86"/>
    <mergeCell ref="P86:AI86"/>
    <mergeCell ref="D87:AF87"/>
    <mergeCell ref="AG87:AI87"/>
    <mergeCell ref="B88:C89"/>
    <mergeCell ref="D88:AI88"/>
    <mergeCell ref="D89:AI89"/>
    <mergeCell ref="B90:C93"/>
    <mergeCell ref="D90:AI90"/>
    <mergeCell ref="D91:AI91"/>
    <mergeCell ref="D92:AI92"/>
    <mergeCell ref="D93:AI93"/>
    <mergeCell ref="B94:C94"/>
    <mergeCell ref="D94:AI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30" t="s">
        <v>216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13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119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120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121</v>
      </c>
    </row>
    <row r="13" customFormat="false" ht="51.75" hidden="false" customHeight="true" outlineLevel="0" collapsed="false">
      <c r="B13" s="7"/>
      <c r="C13" s="7"/>
      <c r="D13" s="9" t="s">
        <v>217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218</v>
      </c>
    </row>
    <row r="14" customFormat="false" ht="25.5" hidden="false" customHeight="true" outlineLevel="0" collapsed="false">
      <c r="B14" s="7" t="s">
        <v>124</v>
      </c>
      <c r="C14" s="7"/>
      <c r="D14" s="13" t="s">
        <v>125</v>
      </c>
      <c r="E14" s="13"/>
      <c r="F14" s="13"/>
      <c r="G14" s="13"/>
      <c r="H14" s="14" t="s">
        <v>126</v>
      </c>
      <c r="I14" s="14"/>
      <c r="J14" s="14"/>
      <c r="K14" s="14"/>
      <c r="L14" s="14"/>
      <c r="M14" s="14"/>
      <c r="N14" s="14"/>
      <c r="O14" s="14"/>
      <c r="P14" s="14"/>
      <c r="Q14" s="15" t="s">
        <v>127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0" t="n">
        <v>18</v>
      </c>
      <c r="AK14" s="11" t="s">
        <v>128</v>
      </c>
    </row>
    <row r="15" customFormat="false" ht="19.5" hidden="false" customHeight="true" outlineLevel="0" collapsed="false">
      <c r="B15" s="7"/>
      <c r="C15" s="7"/>
      <c r="D15" s="15" t="s">
        <v>129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0" t="n">
        <v>22</v>
      </c>
      <c r="AK15" s="11" t="s">
        <v>130</v>
      </c>
    </row>
    <row r="16" customFormat="false" ht="19.5" hidden="false" customHeight="true" outlineLevel="0" collapsed="false">
      <c r="B16" s="7"/>
      <c r="C16" s="7"/>
      <c r="D16" s="15" t="s">
        <v>131</v>
      </c>
      <c r="E16" s="15"/>
      <c r="F16" s="15"/>
      <c r="G16" s="15"/>
      <c r="H16" s="15"/>
      <c r="I16" s="15"/>
      <c r="J16" s="15"/>
      <c r="K16" s="15"/>
      <c r="L16" s="15"/>
      <c r="M16" s="15"/>
      <c r="N16" s="16" t="s">
        <v>132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0" t="n">
        <v>26</v>
      </c>
      <c r="AK16" s="11" t="s">
        <v>133</v>
      </c>
    </row>
    <row r="17" customFormat="false" ht="25.5" hidden="false" customHeight="true" outlineLevel="0" collapsed="false">
      <c r="B17" s="7"/>
      <c r="C17" s="7"/>
      <c r="D17" s="16" t="s">
        <v>134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0" t="s">
        <v>135</v>
      </c>
      <c r="AF17" s="10"/>
      <c r="AG17" s="10" t="s">
        <v>136</v>
      </c>
      <c r="AH17" s="10"/>
      <c r="AI17" s="10"/>
      <c r="AJ17" s="10" t="n">
        <v>30</v>
      </c>
      <c r="AK17" s="11" t="s">
        <v>137</v>
      </c>
    </row>
    <row r="18" customFormat="false" ht="25.5" hidden="false" customHeight="true" outlineLevel="0" collapsed="false">
      <c r="B18" s="7" t="s">
        <v>138</v>
      </c>
      <c r="C18" s="7"/>
      <c r="D18" s="13" t="s">
        <v>125</v>
      </c>
      <c r="E18" s="13"/>
      <c r="F18" s="13"/>
      <c r="G18" s="13"/>
      <c r="H18" s="14" t="s">
        <v>139</v>
      </c>
      <c r="I18" s="14"/>
      <c r="J18" s="14"/>
      <c r="K18" s="14"/>
      <c r="L18" s="14"/>
      <c r="M18" s="14"/>
      <c r="N18" s="14"/>
      <c r="O18" s="14"/>
      <c r="P18" s="14"/>
      <c r="Q18" s="15" t="s">
        <v>127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0" t="n">
        <v>34</v>
      </c>
      <c r="AK18" s="11" t="s">
        <v>128</v>
      </c>
    </row>
    <row r="19" customFormat="false" ht="19.5" hidden="false" customHeight="true" outlineLevel="0" collapsed="false">
      <c r="B19" s="7"/>
      <c r="C19" s="7"/>
      <c r="D19" s="15" t="s">
        <v>129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0" t="n">
        <v>38</v>
      </c>
      <c r="AK19" s="11" t="s">
        <v>130</v>
      </c>
    </row>
    <row r="20" customFormat="false" ht="19.5" hidden="false" customHeight="true" outlineLevel="0" collapsed="false">
      <c r="B20" s="7"/>
      <c r="C20" s="7"/>
      <c r="D20" s="15" t="s">
        <v>131</v>
      </c>
      <c r="E20" s="15"/>
      <c r="F20" s="15"/>
      <c r="G20" s="15"/>
      <c r="H20" s="15"/>
      <c r="I20" s="15"/>
      <c r="J20" s="15"/>
      <c r="K20" s="15"/>
      <c r="L20" s="15"/>
      <c r="M20" s="15"/>
      <c r="N20" s="16" t="s">
        <v>132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0" t="n">
        <v>42</v>
      </c>
      <c r="AK20" s="11" t="s">
        <v>133</v>
      </c>
    </row>
    <row r="21" customFormat="false" ht="25.5" hidden="false" customHeight="true" outlineLevel="0" collapsed="false">
      <c r="B21" s="7"/>
      <c r="C21" s="7"/>
      <c r="D21" s="16" t="s">
        <v>134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0" t="s">
        <v>135</v>
      </c>
      <c r="AF21" s="10"/>
      <c r="AG21" s="10" t="s">
        <v>136</v>
      </c>
      <c r="AH21" s="10"/>
      <c r="AI21" s="10"/>
      <c r="AJ21" s="10" t="n">
        <v>46</v>
      </c>
      <c r="AK21" s="11" t="s">
        <v>137</v>
      </c>
    </row>
    <row r="22" customFormat="false" ht="25.5" hidden="false" customHeight="true" outlineLevel="0" collapsed="false">
      <c r="B22" s="7" t="s">
        <v>219</v>
      </c>
      <c r="C22" s="7"/>
      <c r="D22" s="13" t="s">
        <v>125</v>
      </c>
      <c r="E22" s="13"/>
      <c r="F22" s="13"/>
      <c r="G22" s="13"/>
      <c r="H22" s="14" t="s">
        <v>220</v>
      </c>
      <c r="I22" s="14"/>
      <c r="J22" s="14"/>
      <c r="K22" s="14"/>
      <c r="L22" s="14"/>
      <c r="M22" s="14"/>
      <c r="N22" s="14"/>
      <c r="O22" s="14"/>
      <c r="P22" s="14"/>
      <c r="Q22" s="15" t="s">
        <v>127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0" t="n">
        <v>50</v>
      </c>
      <c r="AK22" s="11" t="s">
        <v>128</v>
      </c>
    </row>
    <row r="23" customFormat="false" ht="19.5" hidden="false" customHeight="true" outlineLevel="0" collapsed="false">
      <c r="B23" s="7"/>
      <c r="C23" s="7"/>
      <c r="D23" s="15" t="s">
        <v>129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0" t="n">
        <v>54</v>
      </c>
      <c r="AK23" s="11" t="s">
        <v>130</v>
      </c>
    </row>
    <row r="24" customFormat="false" ht="19.5" hidden="false" customHeight="true" outlineLevel="0" collapsed="false">
      <c r="B24" s="7"/>
      <c r="C24" s="7"/>
      <c r="D24" s="15" t="s">
        <v>131</v>
      </c>
      <c r="E24" s="15"/>
      <c r="F24" s="15"/>
      <c r="G24" s="15"/>
      <c r="H24" s="15"/>
      <c r="I24" s="15"/>
      <c r="J24" s="15"/>
      <c r="K24" s="15"/>
      <c r="L24" s="15"/>
      <c r="M24" s="15"/>
      <c r="N24" s="16" t="s">
        <v>132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0" t="n">
        <v>58</v>
      </c>
      <c r="AK24" s="11" t="s">
        <v>133</v>
      </c>
    </row>
    <row r="25" customFormat="false" ht="25.5" hidden="false" customHeight="true" outlineLevel="0" collapsed="false">
      <c r="B25" s="7"/>
      <c r="C25" s="7"/>
      <c r="D25" s="16" t="s">
        <v>134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0" t="s">
        <v>135</v>
      </c>
      <c r="AF25" s="10"/>
      <c r="AG25" s="10" t="s">
        <v>136</v>
      </c>
      <c r="AH25" s="10"/>
      <c r="AI25" s="10"/>
      <c r="AJ25" s="10" t="n">
        <v>62</v>
      </c>
      <c r="AK25" s="11" t="s">
        <v>137</v>
      </c>
    </row>
    <row r="26" customFormat="false" ht="25.5" hidden="false" customHeight="true" outlineLevel="0" collapsed="false">
      <c r="B26" s="7" t="s">
        <v>221</v>
      </c>
      <c r="C26" s="7"/>
      <c r="D26" s="13" t="s">
        <v>125</v>
      </c>
      <c r="E26" s="13"/>
      <c r="F26" s="13"/>
      <c r="G26" s="13"/>
      <c r="H26" s="14" t="s">
        <v>222</v>
      </c>
      <c r="I26" s="14"/>
      <c r="J26" s="14"/>
      <c r="K26" s="14"/>
      <c r="L26" s="14"/>
      <c r="M26" s="14"/>
      <c r="N26" s="14"/>
      <c r="O26" s="14"/>
      <c r="P26" s="14"/>
      <c r="Q26" s="15" t="s">
        <v>127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0" t="n">
        <v>66</v>
      </c>
      <c r="AK26" s="11" t="s">
        <v>128</v>
      </c>
    </row>
    <row r="27" customFormat="false" ht="19.5" hidden="false" customHeight="true" outlineLevel="0" collapsed="false">
      <c r="B27" s="7"/>
      <c r="C27" s="7"/>
      <c r="D27" s="15" t="s">
        <v>129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0" t="n">
        <v>70</v>
      </c>
      <c r="AK27" s="11" t="s">
        <v>130</v>
      </c>
    </row>
    <row r="28" customFormat="false" ht="19.5" hidden="false" customHeight="true" outlineLevel="0" collapsed="false">
      <c r="B28" s="7"/>
      <c r="C28" s="7"/>
      <c r="D28" s="15" t="s">
        <v>131</v>
      </c>
      <c r="E28" s="15"/>
      <c r="F28" s="15"/>
      <c r="G28" s="15"/>
      <c r="H28" s="15"/>
      <c r="I28" s="15"/>
      <c r="J28" s="15"/>
      <c r="K28" s="15"/>
      <c r="L28" s="15"/>
      <c r="M28" s="15"/>
      <c r="N28" s="16" t="s">
        <v>132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0" t="n">
        <v>74</v>
      </c>
      <c r="AK28" s="11" t="s">
        <v>133</v>
      </c>
    </row>
    <row r="29" customFormat="false" ht="25.5" hidden="false" customHeight="true" outlineLevel="0" collapsed="false">
      <c r="B29" s="7"/>
      <c r="C29" s="7"/>
      <c r="D29" s="16" t="s">
        <v>134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0" t="s">
        <v>135</v>
      </c>
      <c r="AF29" s="10"/>
      <c r="AG29" s="10" t="s">
        <v>136</v>
      </c>
      <c r="AH29" s="10"/>
      <c r="AI29" s="10"/>
      <c r="AJ29" s="10" t="n">
        <v>78</v>
      </c>
      <c r="AK29" s="11" t="s">
        <v>137</v>
      </c>
    </row>
    <row r="30" customFormat="false" ht="19.5" hidden="false" customHeight="true" outlineLevel="0" collapsed="false">
      <c r="B30" s="8" t="s">
        <v>69</v>
      </c>
      <c r="C30" s="8"/>
      <c r="D30" s="18" t="s">
        <v>70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0" t="n">
        <v>82</v>
      </c>
      <c r="AK30" s="19" t="s">
        <v>71</v>
      </c>
    </row>
    <row r="32" customFormat="false" ht="17.15" hidden="false" customHeight="false" outlineLevel="0" collapsed="false">
      <c r="B32" s="20" t="s">
        <v>141</v>
      </c>
    </row>
    <row r="33" customFormat="false" ht="15" hidden="false" customHeight="false" outlineLevel="0" collapsed="false">
      <c r="B33" s="21" t="s">
        <v>73</v>
      </c>
      <c r="C33" s="22" t="n">
        <v>4</v>
      </c>
      <c r="D33" s="23" t="s">
        <v>74</v>
      </c>
    </row>
    <row r="34" customFormat="false" ht="15" hidden="false" customHeight="false" outlineLevel="0" collapsed="false">
      <c r="B34" s="21" t="s">
        <v>75</v>
      </c>
      <c r="C34" s="22" t="n">
        <v>0</v>
      </c>
      <c r="D34" s="23" t="s">
        <v>76</v>
      </c>
    </row>
    <row r="35" customFormat="false" ht="15" hidden="false" customHeight="false" outlineLevel="0" collapsed="false">
      <c r="B35" s="21" t="s">
        <v>77</v>
      </c>
      <c r="C35" s="22" t="n">
        <v>0</v>
      </c>
      <c r="D35" s="23" t="s">
        <v>78</v>
      </c>
    </row>
    <row r="36" customFormat="false" ht="15" hidden="false" customHeight="false" outlineLevel="0" collapsed="false">
      <c r="B36" s="21" t="s">
        <v>83</v>
      </c>
      <c r="C36" s="24" t="n">
        <f aca="false">C33*C34</f>
        <v>0</v>
      </c>
      <c r="D36" s="23"/>
    </row>
    <row r="37" customFormat="false" ht="15" hidden="false" customHeight="false" outlineLevel="0" collapsed="false">
      <c r="B37" s="25" t="s">
        <v>84</v>
      </c>
      <c r="C37" s="24" t="n">
        <f aca="false">C33*(16+C34*(64+C35))</f>
        <v>64</v>
      </c>
      <c r="D37" s="23" t="s">
        <v>85</v>
      </c>
    </row>
    <row r="38" customFormat="false" ht="15" hidden="false" customHeight="false" outlineLevel="0" collapsed="false">
      <c r="B38" s="21" t="s">
        <v>86</v>
      </c>
      <c r="C38" s="24" t="n">
        <f aca="false">MAX(60,18+C37)+4</f>
        <v>86</v>
      </c>
      <c r="D38" s="23" t="s">
        <v>87</v>
      </c>
    </row>
    <row r="39" customFormat="false" ht="15" hidden="false" customHeight="false" outlineLevel="0" collapsed="false">
      <c r="B39" s="21" t="s">
        <v>88</v>
      </c>
      <c r="C39" s="24" t="n">
        <f aca="false">C38+20</f>
        <v>106</v>
      </c>
      <c r="D39" s="26" t="s">
        <v>89</v>
      </c>
    </row>
  </sheetData>
  <mergeCells count="56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7"/>
    <mergeCell ref="D14:G14"/>
    <mergeCell ref="H14:P14"/>
    <mergeCell ref="Q14:AI14"/>
    <mergeCell ref="D15:AI15"/>
    <mergeCell ref="D16:M16"/>
    <mergeCell ref="N16:AI16"/>
    <mergeCell ref="D17:AD17"/>
    <mergeCell ref="AE17:AF17"/>
    <mergeCell ref="AG17:AI17"/>
    <mergeCell ref="B18:C21"/>
    <mergeCell ref="D18:G18"/>
    <mergeCell ref="H18:P18"/>
    <mergeCell ref="Q18:AI18"/>
    <mergeCell ref="D19:AI19"/>
    <mergeCell ref="D20:M20"/>
    <mergeCell ref="N20:AI20"/>
    <mergeCell ref="D21:AD21"/>
    <mergeCell ref="AE21:AF21"/>
    <mergeCell ref="AG21:AI21"/>
    <mergeCell ref="B22:C25"/>
    <mergeCell ref="D22:G22"/>
    <mergeCell ref="H22:P22"/>
    <mergeCell ref="Q22:AI22"/>
    <mergeCell ref="D23:AI23"/>
    <mergeCell ref="D24:M24"/>
    <mergeCell ref="N24:AI24"/>
    <mergeCell ref="D25:AD25"/>
    <mergeCell ref="AE25:AF25"/>
    <mergeCell ref="AG25:AI25"/>
    <mergeCell ref="B26:C29"/>
    <mergeCell ref="D26:G26"/>
    <mergeCell ref="H26:P26"/>
    <mergeCell ref="Q26:AI26"/>
    <mergeCell ref="D27:AI27"/>
    <mergeCell ref="D28:M28"/>
    <mergeCell ref="N28:AI28"/>
    <mergeCell ref="D29:AD29"/>
    <mergeCell ref="AE29:AF29"/>
    <mergeCell ref="AG29:AI29"/>
    <mergeCell ref="B30:C30"/>
    <mergeCell ref="D30:A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35" min="4" style="0" width="4.2"/>
    <col collapsed="false" customWidth="true" hidden="false" outlineLevel="0" max="36" min="36" style="0" width="11"/>
    <col collapsed="false" customWidth="true" hidden="false" outlineLevel="0" max="37" min="37" style="0" width="62"/>
  </cols>
  <sheetData>
    <row r="1" customFormat="false" ht="21.6" hidden="false" customHeight="false" outlineLevel="0" collapsed="false">
      <c r="B1" s="30" t="s">
        <v>223</v>
      </c>
    </row>
    <row r="3" customFormat="false" ht="15" hidden="false" customHeight="true" outlineLevel="0" collapsed="false">
      <c r="B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5" hidden="false" customHeight="true" outlineLevel="0" collapsed="false">
      <c r="B4" s="4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5" hidden="false" customHeight="true" outlineLevel="0" collapsed="false">
      <c r="B5" s="5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5" hidden="false" customHeight="false" outlineLevel="0" collapsed="false">
      <c r="B6" s="6" t="s">
        <v>7</v>
      </c>
    </row>
    <row r="8" customFormat="false" ht="15" hidden="false" customHeight="true" outlineLevel="0" collapsed="false">
      <c r="B8" s="7" t="s">
        <v>8</v>
      </c>
      <c r="C8" s="7"/>
      <c r="D8" s="7" t="n">
        <v>31</v>
      </c>
      <c r="E8" s="7" t="n">
        <v>30</v>
      </c>
      <c r="F8" s="7" t="n">
        <v>29</v>
      </c>
      <c r="G8" s="7" t="n">
        <v>28</v>
      </c>
      <c r="H8" s="7" t="n">
        <v>27</v>
      </c>
      <c r="I8" s="7" t="n">
        <v>26</v>
      </c>
      <c r="J8" s="7" t="n">
        <v>25</v>
      </c>
      <c r="K8" s="7" t="n">
        <v>24</v>
      </c>
      <c r="L8" s="7" t="n">
        <v>23</v>
      </c>
      <c r="M8" s="7" t="n">
        <v>22</v>
      </c>
      <c r="N8" s="7" t="n">
        <v>21</v>
      </c>
      <c r="O8" s="7" t="n">
        <v>20</v>
      </c>
      <c r="P8" s="7" t="n">
        <v>19</v>
      </c>
      <c r="Q8" s="7" t="n">
        <v>18</v>
      </c>
      <c r="R8" s="7" t="n">
        <v>17</v>
      </c>
      <c r="S8" s="7" t="n">
        <v>16</v>
      </c>
      <c r="T8" s="7" t="n">
        <v>15</v>
      </c>
      <c r="U8" s="7" t="n">
        <v>14</v>
      </c>
      <c r="V8" s="7" t="n">
        <v>13</v>
      </c>
      <c r="W8" s="7" t="n">
        <v>12</v>
      </c>
      <c r="X8" s="7" t="n">
        <v>11</v>
      </c>
      <c r="Y8" s="7" t="n">
        <v>10</v>
      </c>
      <c r="Z8" s="7" t="n">
        <v>9</v>
      </c>
      <c r="AA8" s="7" t="n">
        <v>8</v>
      </c>
      <c r="AB8" s="7" t="n">
        <v>7</v>
      </c>
      <c r="AC8" s="7" t="n">
        <v>6</v>
      </c>
      <c r="AD8" s="7" t="n">
        <v>5</v>
      </c>
      <c r="AE8" s="7" t="n">
        <v>4</v>
      </c>
      <c r="AF8" s="7" t="n">
        <v>3</v>
      </c>
      <c r="AG8" s="7" t="n">
        <v>2</v>
      </c>
      <c r="AH8" s="7" t="n">
        <v>1</v>
      </c>
      <c r="AI8" s="7" t="n">
        <v>0</v>
      </c>
      <c r="AJ8" s="7" t="s">
        <v>9</v>
      </c>
      <c r="AK8" s="7" t="s">
        <v>10</v>
      </c>
    </row>
    <row r="9" customFormat="false" ht="19.5" hidden="false" customHeight="true" outlineLevel="0" collapsed="false">
      <c r="B9" s="7" t="s">
        <v>11</v>
      </c>
      <c r="C9" s="7"/>
      <c r="D9" s="9" t="s">
        <v>12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 t="n">
        <v>0</v>
      </c>
      <c r="AK9" s="11" t="s">
        <v>224</v>
      </c>
    </row>
    <row r="10" customFormat="false" ht="19.5" hidden="false" customHeight="true" outlineLevel="0" collapsed="false">
      <c r="B10" s="7"/>
      <c r="C10" s="7"/>
      <c r="D10" s="9" t="s">
        <v>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15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 t="n">
        <v>4</v>
      </c>
      <c r="AK10" s="11" t="s">
        <v>96</v>
      </c>
    </row>
    <row r="11" customFormat="false" ht="19.5" hidden="false" customHeight="true" outlineLevel="0" collapsed="false">
      <c r="B11" s="7"/>
      <c r="C11" s="7"/>
      <c r="D11" s="9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 t="n">
        <v>8</v>
      </c>
      <c r="AK11" s="11"/>
    </row>
    <row r="12" customFormat="false" ht="39" hidden="false" customHeight="true" outlineLevel="0" collapsed="false">
      <c r="B12" s="7"/>
      <c r="C12" s="7"/>
      <c r="D12" s="9" t="s">
        <v>18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143</v>
      </c>
      <c r="U12" s="9"/>
      <c r="V12" s="9"/>
      <c r="W12" s="9" t="s">
        <v>20</v>
      </c>
      <c r="X12" s="9" t="s">
        <v>21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n">
        <v>12</v>
      </c>
      <c r="AK12" s="11" t="s">
        <v>144</v>
      </c>
    </row>
    <row r="13" customFormat="false" ht="51.75" hidden="false" customHeight="true" outlineLevel="0" collapsed="false">
      <c r="B13" s="7"/>
      <c r="C13" s="7"/>
      <c r="D13" s="9" t="s">
        <v>23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2" t="s">
        <v>24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0" t="n">
        <v>16</v>
      </c>
      <c r="AK13" s="11" t="s">
        <v>25</v>
      </c>
    </row>
    <row r="14" customFormat="false" ht="19.5" hidden="false" customHeight="true" outlineLevel="0" collapsed="false">
      <c r="B14" s="8" t="s">
        <v>147</v>
      </c>
      <c r="C14" s="8"/>
      <c r="D14" s="13" t="s">
        <v>148</v>
      </c>
      <c r="E14" s="13"/>
      <c r="F14" s="13"/>
      <c r="G14" s="13"/>
      <c r="H14" s="14" t="s">
        <v>149</v>
      </c>
      <c r="I14" s="14"/>
      <c r="J14" s="14"/>
      <c r="K14" s="14"/>
      <c r="L14" s="14"/>
      <c r="M14" s="14"/>
      <c r="N14" s="14"/>
      <c r="O14" s="14"/>
      <c r="P14" s="14"/>
      <c r="Q14" s="10" t="s">
        <v>225</v>
      </c>
      <c r="R14" s="10"/>
      <c r="S14" s="15" t="s">
        <v>151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29" t="s">
        <v>152</v>
      </c>
      <c r="AG14" s="16" t="s">
        <v>153</v>
      </c>
      <c r="AH14" s="16"/>
      <c r="AI14" s="10" t="s">
        <v>154</v>
      </c>
      <c r="AJ14" s="10" t="n">
        <v>18</v>
      </c>
      <c r="AK14" s="11" t="s">
        <v>226</v>
      </c>
    </row>
    <row r="15" customFormat="false" ht="19.5" hidden="false" customHeight="true" outlineLevel="0" collapsed="false">
      <c r="B15" s="8" t="s">
        <v>156</v>
      </c>
      <c r="C15" s="8"/>
      <c r="D15" s="17" t="s">
        <v>157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0" t="n">
        <v>22</v>
      </c>
      <c r="AK15" s="11" t="s">
        <v>158</v>
      </c>
    </row>
    <row r="16" customFormat="false" ht="19.5" hidden="false" customHeight="true" outlineLevel="0" collapsed="false">
      <c r="B16" s="8"/>
      <c r="C16" s="8"/>
      <c r="D16" s="17" t="s">
        <v>159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0" t="n">
        <v>26</v>
      </c>
      <c r="AK16" s="11"/>
    </row>
    <row r="17" customFormat="false" ht="19.5" hidden="false" customHeight="true" outlineLevel="0" collapsed="false">
      <c r="B17" s="8"/>
      <c r="C17" s="8"/>
      <c r="D17" s="17" t="s">
        <v>45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0" t="s">
        <v>160</v>
      </c>
      <c r="AK17" s="11"/>
    </row>
    <row r="18" customFormat="false" ht="19.5" hidden="false" customHeight="true" outlineLevel="0" collapsed="false">
      <c r="B18" s="8"/>
      <c r="C18" s="8"/>
      <c r="D18" s="17" t="s">
        <v>161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0" t="n">
        <v>82</v>
      </c>
      <c r="AK18" s="11"/>
    </row>
    <row r="19" customFormat="false" ht="19.5" hidden="false" customHeight="true" outlineLevel="0" collapsed="false">
      <c r="B19" s="8" t="s">
        <v>177</v>
      </c>
      <c r="C19" s="8"/>
      <c r="D19" s="13" t="s">
        <v>148</v>
      </c>
      <c r="E19" s="13"/>
      <c r="F19" s="13"/>
      <c r="G19" s="13"/>
      <c r="H19" s="14" t="s">
        <v>178</v>
      </c>
      <c r="I19" s="14"/>
      <c r="J19" s="14"/>
      <c r="K19" s="14"/>
      <c r="L19" s="14"/>
      <c r="M19" s="14"/>
      <c r="N19" s="14"/>
      <c r="O19" s="14"/>
      <c r="P19" s="14"/>
      <c r="Q19" s="10" t="s">
        <v>225</v>
      </c>
      <c r="R19" s="10"/>
      <c r="S19" s="15" t="s">
        <v>151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29" t="s">
        <v>152</v>
      </c>
      <c r="AG19" s="16" t="s">
        <v>153</v>
      </c>
      <c r="AH19" s="16"/>
      <c r="AI19" s="10" t="s">
        <v>154</v>
      </c>
      <c r="AJ19" s="10" t="n">
        <v>86</v>
      </c>
      <c r="AK19" s="11" t="s">
        <v>226</v>
      </c>
    </row>
    <row r="20" customFormat="false" ht="19.5" hidden="false" customHeight="true" outlineLevel="0" collapsed="false">
      <c r="B20" s="8" t="s">
        <v>156</v>
      </c>
      <c r="C20" s="8"/>
      <c r="D20" s="17" t="s">
        <v>157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0" t="n">
        <v>90</v>
      </c>
      <c r="AK20" s="11" t="s">
        <v>158</v>
      </c>
    </row>
    <row r="21" customFormat="false" ht="19.5" hidden="false" customHeight="true" outlineLevel="0" collapsed="false">
      <c r="B21" s="8"/>
      <c r="C21" s="8"/>
      <c r="D21" s="17" t="s">
        <v>159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0" t="n">
        <v>94</v>
      </c>
      <c r="AK21" s="11"/>
    </row>
    <row r="22" customFormat="false" ht="19.5" hidden="false" customHeight="true" outlineLevel="0" collapsed="false">
      <c r="B22" s="8"/>
      <c r="C22" s="8"/>
      <c r="D22" s="17" t="s">
        <v>45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0" t="s">
        <v>227</v>
      </c>
      <c r="AK22" s="11"/>
    </row>
    <row r="23" customFormat="false" ht="19.5" hidden="false" customHeight="true" outlineLevel="0" collapsed="false">
      <c r="B23" s="8"/>
      <c r="C23" s="8"/>
      <c r="D23" s="17" t="s">
        <v>161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0" t="n">
        <v>150</v>
      </c>
      <c r="AK23" s="11"/>
    </row>
    <row r="24" customFormat="false" ht="19.5" hidden="false" customHeight="true" outlineLevel="0" collapsed="false">
      <c r="B24" s="8" t="s">
        <v>228</v>
      </c>
      <c r="C24" s="8"/>
      <c r="D24" s="13" t="s">
        <v>148</v>
      </c>
      <c r="E24" s="13"/>
      <c r="F24" s="13"/>
      <c r="G24" s="13"/>
      <c r="H24" s="14" t="s">
        <v>229</v>
      </c>
      <c r="I24" s="14"/>
      <c r="J24" s="14"/>
      <c r="K24" s="14"/>
      <c r="L24" s="14"/>
      <c r="M24" s="14"/>
      <c r="N24" s="14"/>
      <c r="O24" s="14"/>
      <c r="P24" s="14"/>
      <c r="Q24" s="10" t="s">
        <v>225</v>
      </c>
      <c r="R24" s="10"/>
      <c r="S24" s="15" t="s">
        <v>151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29" t="s">
        <v>152</v>
      </c>
      <c r="AG24" s="16" t="s">
        <v>153</v>
      </c>
      <c r="AH24" s="16"/>
      <c r="AI24" s="10" t="s">
        <v>154</v>
      </c>
      <c r="AJ24" s="10" t="n">
        <v>154</v>
      </c>
      <c r="AK24" s="11" t="s">
        <v>226</v>
      </c>
    </row>
    <row r="25" customFormat="false" ht="19.5" hidden="false" customHeight="true" outlineLevel="0" collapsed="false">
      <c r="B25" s="8" t="s">
        <v>156</v>
      </c>
      <c r="C25" s="8"/>
      <c r="D25" s="17" t="s">
        <v>157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0" t="n">
        <v>158</v>
      </c>
      <c r="AK25" s="11" t="s">
        <v>158</v>
      </c>
    </row>
    <row r="26" customFormat="false" ht="19.5" hidden="false" customHeight="true" outlineLevel="0" collapsed="false">
      <c r="B26" s="8"/>
      <c r="C26" s="8"/>
      <c r="D26" s="17" t="s">
        <v>159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0" t="n">
        <v>162</v>
      </c>
      <c r="AK26" s="11"/>
    </row>
    <row r="27" customFormat="false" ht="19.5" hidden="false" customHeight="true" outlineLevel="0" collapsed="false">
      <c r="B27" s="8"/>
      <c r="C27" s="8"/>
      <c r="D27" s="17" t="s">
        <v>45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0" t="s">
        <v>230</v>
      </c>
      <c r="AK27" s="11"/>
    </row>
    <row r="28" customFormat="false" ht="19.5" hidden="false" customHeight="true" outlineLevel="0" collapsed="false">
      <c r="B28" s="8"/>
      <c r="C28" s="8"/>
      <c r="D28" s="17" t="s">
        <v>161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0" t="n">
        <v>218</v>
      </c>
      <c r="AK28" s="11"/>
    </row>
    <row r="29" customFormat="false" ht="19.5" hidden="false" customHeight="true" outlineLevel="0" collapsed="false">
      <c r="B29" s="8" t="s">
        <v>231</v>
      </c>
      <c r="C29" s="8"/>
      <c r="D29" s="13" t="s">
        <v>148</v>
      </c>
      <c r="E29" s="13"/>
      <c r="F29" s="13"/>
      <c r="G29" s="13"/>
      <c r="H29" s="14" t="s">
        <v>232</v>
      </c>
      <c r="I29" s="14"/>
      <c r="J29" s="14"/>
      <c r="K29" s="14"/>
      <c r="L29" s="14"/>
      <c r="M29" s="14"/>
      <c r="N29" s="14"/>
      <c r="O29" s="14"/>
      <c r="P29" s="14"/>
      <c r="Q29" s="10" t="s">
        <v>225</v>
      </c>
      <c r="R29" s="10"/>
      <c r="S29" s="15" t="s">
        <v>151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29" t="s">
        <v>152</v>
      </c>
      <c r="AG29" s="16" t="s">
        <v>153</v>
      </c>
      <c r="AH29" s="16"/>
      <c r="AI29" s="10" t="s">
        <v>154</v>
      </c>
      <c r="AJ29" s="10" t="n">
        <v>222</v>
      </c>
      <c r="AK29" s="11" t="s">
        <v>226</v>
      </c>
    </row>
    <row r="30" customFormat="false" ht="19.5" hidden="false" customHeight="true" outlineLevel="0" collapsed="false">
      <c r="B30" s="8" t="s">
        <v>156</v>
      </c>
      <c r="C30" s="8"/>
      <c r="D30" s="17" t="s">
        <v>157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0" t="n">
        <v>226</v>
      </c>
      <c r="AK30" s="11" t="s">
        <v>158</v>
      </c>
    </row>
    <row r="31" customFormat="false" ht="19.5" hidden="false" customHeight="true" outlineLevel="0" collapsed="false">
      <c r="B31" s="8"/>
      <c r="C31" s="8"/>
      <c r="D31" s="17" t="s">
        <v>159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0" t="n">
        <v>230</v>
      </c>
      <c r="AK31" s="11"/>
    </row>
    <row r="32" customFormat="false" ht="19.5" hidden="false" customHeight="true" outlineLevel="0" collapsed="false">
      <c r="B32" s="8"/>
      <c r="C32" s="8"/>
      <c r="D32" s="17" t="s">
        <v>45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0" t="s">
        <v>61</v>
      </c>
      <c r="AK32" s="11"/>
    </row>
    <row r="33" customFormat="false" ht="19.5" hidden="false" customHeight="true" outlineLevel="0" collapsed="false">
      <c r="B33" s="8"/>
      <c r="C33" s="8"/>
      <c r="D33" s="17" t="s">
        <v>161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0" t="n">
        <v>286</v>
      </c>
      <c r="AK33" s="11"/>
    </row>
    <row r="34" customFormat="false" ht="19.5" hidden="false" customHeight="true" outlineLevel="0" collapsed="false">
      <c r="B34" s="8" t="s">
        <v>233</v>
      </c>
      <c r="C34" s="8"/>
      <c r="D34" s="13" t="s">
        <v>148</v>
      </c>
      <c r="E34" s="13"/>
      <c r="F34" s="13"/>
      <c r="G34" s="13"/>
      <c r="H34" s="14" t="s">
        <v>234</v>
      </c>
      <c r="I34" s="14"/>
      <c r="J34" s="14"/>
      <c r="K34" s="14"/>
      <c r="L34" s="14"/>
      <c r="M34" s="14"/>
      <c r="N34" s="14"/>
      <c r="O34" s="14"/>
      <c r="P34" s="14"/>
      <c r="Q34" s="10" t="s">
        <v>225</v>
      </c>
      <c r="R34" s="10"/>
      <c r="S34" s="15" t="s">
        <v>151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29" t="s">
        <v>152</v>
      </c>
      <c r="AG34" s="16" t="s">
        <v>153</v>
      </c>
      <c r="AH34" s="16"/>
      <c r="AI34" s="10" t="s">
        <v>154</v>
      </c>
      <c r="AJ34" s="10" t="n">
        <v>290</v>
      </c>
      <c r="AK34" s="11" t="s">
        <v>226</v>
      </c>
    </row>
    <row r="35" customFormat="false" ht="19.5" hidden="false" customHeight="true" outlineLevel="0" collapsed="false">
      <c r="B35" s="8" t="s">
        <v>156</v>
      </c>
      <c r="C35" s="8"/>
      <c r="D35" s="17" t="s">
        <v>157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0" t="n">
        <v>294</v>
      </c>
      <c r="AK35" s="11" t="s">
        <v>158</v>
      </c>
    </row>
    <row r="36" customFormat="false" ht="19.5" hidden="false" customHeight="true" outlineLevel="0" collapsed="false">
      <c r="B36" s="8"/>
      <c r="C36" s="8"/>
      <c r="D36" s="17" t="s">
        <v>159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0" t="n">
        <v>298</v>
      </c>
      <c r="AK36" s="11"/>
    </row>
    <row r="37" customFormat="false" ht="19.5" hidden="false" customHeight="true" outlineLevel="0" collapsed="false">
      <c r="B37" s="8"/>
      <c r="C37" s="8"/>
      <c r="D37" s="17" t="s">
        <v>45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0" t="s">
        <v>235</v>
      </c>
      <c r="AK37" s="11"/>
    </row>
    <row r="38" customFormat="false" ht="19.5" hidden="false" customHeight="true" outlineLevel="0" collapsed="false">
      <c r="B38" s="8"/>
      <c r="C38" s="8"/>
      <c r="D38" s="17" t="s">
        <v>161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0" t="n">
        <v>354</v>
      </c>
      <c r="AK38" s="11"/>
    </row>
    <row r="39" customFormat="false" ht="19.5" hidden="false" customHeight="true" outlineLevel="0" collapsed="false">
      <c r="B39" s="8" t="s">
        <v>236</v>
      </c>
      <c r="C39" s="8"/>
      <c r="D39" s="13" t="s">
        <v>148</v>
      </c>
      <c r="E39" s="13"/>
      <c r="F39" s="13"/>
      <c r="G39" s="13"/>
      <c r="H39" s="14" t="s">
        <v>237</v>
      </c>
      <c r="I39" s="14"/>
      <c r="J39" s="14"/>
      <c r="K39" s="14"/>
      <c r="L39" s="14"/>
      <c r="M39" s="14"/>
      <c r="N39" s="14"/>
      <c r="O39" s="14"/>
      <c r="P39" s="14"/>
      <c r="Q39" s="10" t="s">
        <v>225</v>
      </c>
      <c r="R39" s="10"/>
      <c r="S39" s="15" t="s">
        <v>151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29" t="s">
        <v>152</v>
      </c>
      <c r="AG39" s="16" t="s">
        <v>153</v>
      </c>
      <c r="AH39" s="16"/>
      <c r="AI39" s="10" t="s">
        <v>154</v>
      </c>
      <c r="AJ39" s="10" t="n">
        <v>358</v>
      </c>
      <c r="AK39" s="11" t="s">
        <v>226</v>
      </c>
    </row>
    <row r="40" customFormat="false" ht="19.5" hidden="false" customHeight="true" outlineLevel="0" collapsed="false">
      <c r="B40" s="8" t="s">
        <v>156</v>
      </c>
      <c r="C40" s="8"/>
      <c r="D40" s="17" t="s">
        <v>157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0" t="n">
        <v>362</v>
      </c>
      <c r="AK40" s="11" t="s">
        <v>158</v>
      </c>
    </row>
    <row r="41" customFormat="false" ht="19.5" hidden="false" customHeight="true" outlineLevel="0" collapsed="false">
      <c r="B41" s="8"/>
      <c r="C41" s="8"/>
      <c r="D41" s="17" t="s">
        <v>159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0" t="n">
        <v>366</v>
      </c>
      <c r="AK41" s="11"/>
    </row>
    <row r="42" customFormat="false" ht="19.5" hidden="false" customHeight="true" outlineLevel="0" collapsed="false">
      <c r="B42" s="8"/>
      <c r="C42" s="8"/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0" t="s">
        <v>238</v>
      </c>
      <c r="AK42" s="11"/>
    </row>
    <row r="43" customFormat="false" ht="19.5" hidden="false" customHeight="true" outlineLevel="0" collapsed="false">
      <c r="B43" s="8"/>
      <c r="C43" s="8"/>
      <c r="D43" s="17" t="s">
        <v>161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0" t="n">
        <v>422</v>
      </c>
      <c r="AK43" s="11"/>
    </row>
    <row r="44" customFormat="false" ht="19.5" hidden="false" customHeight="true" outlineLevel="0" collapsed="false">
      <c r="B44" s="8" t="s">
        <v>239</v>
      </c>
      <c r="C44" s="8"/>
      <c r="D44" s="13" t="s">
        <v>148</v>
      </c>
      <c r="E44" s="13"/>
      <c r="F44" s="13"/>
      <c r="G44" s="13"/>
      <c r="H44" s="14" t="s">
        <v>240</v>
      </c>
      <c r="I44" s="14"/>
      <c r="J44" s="14"/>
      <c r="K44" s="14"/>
      <c r="L44" s="14"/>
      <c r="M44" s="14"/>
      <c r="N44" s="14"/>
      <c r="O44" s="14"/>
      <c r="P44" s="14"/>
      <c r="Q44" s="10" t="s">
        <v>225</v>
      </c>
      <c r="R44" s="10"/>
      <c r="S44" s="15" t="s">
        <v>151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29" t="s">
        <v>152</v>
      </c>
      <c r="AG44" s="16" t="s">
        <v>153</v>
      </c>
      <c r="AH44" s="16"/>
      <c r="AI44" s="10" t="s">
        <v>154</v>
      </c>
      <c r="AJ44" s="10" t="n">
        <v>426</v>
      </c>
      <c r="AK44" s="11" t="s">
        <v>226</v>
      </c>
    </row>
    <row r="45" customFormat="false" ht="19.5" hidden="false" customHeight="true" outlineLevel="0" collapsed="false">
      <c r="B45" s="8" t="s">
        <v>156</v>
      </c>
      <c r="C45" s="8"/>
      <c r="D45" s="17" t="s">
        <v>157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0" t="n">
        <v>430</v>
      </c>
      <c r="AK45" s="11" t="s">
        <v>158</v>
      </c>
    </row>
    <row r="46" customFormat="false" ht="19.5" hidden="false" customHeight="true" outlineLevel="0" collapsed="false">
      <c r="B46" s="8"/>
      <c r="C46" s="8"/>
      <c r="D46" s="17" t="s">
        <v>159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0" t="n">
        <v>434</v>
      </c>
      <c r="AK46" s="11"/>
    </row>
    <row r="47" customFormat="false" ht="19.5" hidden="false" customHeight="true" outlineLevel="0" collapsed="false">
      <c r="B47" s="8"/>
      <c r="C47" s="8"/>
      <c r="D47" s="17" t="s">
        <v>45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0" t="s">
        <v>241</v>
      </c>
      <c r="AK47" s="11"/>
    </row>
    <row r="48" customFormat="false" ht="19.5" hidden="false" customHeight="true" outlineLevel="0" collapsed="false">
      <c r="B48" s="8"/>
      <c r="C48" s="8"/>
      <c r="D48" s="17" t="s">
        <v>161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0" t="n">
        <v>490</v>
      </c>
      <c r="AK48" s="11"/>
    </row>
    <row r="49" customFormat="false" ht="19.5" hidden="false" customHeight="true" outlineLevel="0" collapsed="false">
      <c r="B49" s="8" t="s">
        <v>242</v>
      </c>
      <c r="C49" s="8"/>
      <c r="D49" s="13" t="s">
        <v>148</v>
      </c>
      <c r="E49" s="13"/>
      <c r="F49" s="13"/>
      <c r="G49" s="13"/>
      <c r="H49" s="14" t="s">
        <v>243</v>
      </c>
      <c r="I49" s="14"/>
      <c r="J49" s="14"/>
      <c r="K49" s="14"/>
      <c r="L49" s="14"/>
      <c r="M49" s="14"/>
      <c r="N49" s="14"/>
      <c r="O49" s="14"/>
      <c r="P49" s="14"/>
      <c r="Q49" s="10" t="s">
        <v>225</v>
      </c>
      <c r="R49" s="10"/>
      <c r="S49" s="15" t="s">
        <v>151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29" t="s">
        <v>152</v>
      </c>
      <c r="AG49" s="16" t="s">
        <v>153</v>
      </c>
      <c r="AH49" s="16"/>
      <c r="AI49" s="10" t="s">
        <v>154</v>
      </c>
      <c r="AJ49" s="10" t="n">
        <v>494</v>
      </c>
      <c r="AK49" s="11" t="s">
        <v>226</v>
      </c>
    </row>
    <row r="50" customFormat="false" ht="19.5" hidden="false" customHeight="true" outlineLevel="0" collapsed="false">
      <c r="B50" s="8" t="s">
        <v>156</v>
      </c>
      <c r="C50" s="8"/>
      <c r="D50" s="17" t="s">
        <v>157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0" t="n">
        <v>498</v>
      </c>
      <c r="AK50" s="11" t="s">
        <v>158</v>
      </c>
    </row>
    <row r="51" customFormat="false" ht="19.5" hidden="false" customHeight="true" outlineLevel="0" collapsed="false">
      <c r="B51" s="8"/>
      <c r="C51" s="8"/>
      <c r="D51" s="17" t="s">
        <v>159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0" t="n">
        <v>502</v>
      </c>
      <c r="AK51" s="11"/>
    </row>
    <row r="52" customFormat="false" ht="19.5" hidden="false" customHeight="true" outlineLevel="0" collapsed="false">
      <c r="B52" s="8"/>
      <c r="C52" s="8"/>
      <c r="D52" s="17" t="s">
        <v>45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0" t="s">
        <v>68</v>
      </c>
      <c r="AK52" s="11"/>
    </row>
    <row r="53" customFormat="false" ht="19.5" hidden="false" customHeight="true" outlineLevel="0" collapsed="false">
      <c r="B53" s="8"/>
      <c r="C53" s="8"/>
      <c r="D53" s="17" t="s">
        <v>161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0" t="n">
        <v>558</v>
      </c>
      <c r="AK53" s="11"/>
    </row>
    <row r="54" customFormat="false" ht="19.5" hidden="false" customHeight="true" outlineLevel="0" collapsed="false">
      <c r="B54" s="8" t="s">
        <v>69</v>
      </c>
      <c r="C54" s="8"/>
      <c r="D54" s="18" t="s">
        <v>70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0" t="n">
        <v>562</v>
      </c>
      <c r="AK54" s="19" t="s">
        <v>71</v>
      </c>
    </row>
    <row r="56" customFormat="false" ht="17.15" hidden="false" customHeight="false" outlineLevel="0" collapsed="false">
      <c r="B56" s="20" t="s">
        <v>244</v>
      </c>
    </row>
    <row r="57" customFormat="false" ht="15" hidden="false" customHeight="false" outlineLevel="0" collapsed="false">
      <c r="B57" s="21" t="s">
        <v>73</v>
      </c>
      <c r="C57" s="22" t="n">
        <v>8</v>
      </c>
      <c r="D57" s="23" t="s">
        <v>74</v>
      </c>
    </row>
    <row r="58" customFormat="false" ht="15" hidden="false" customHeight="false" outlineLevel="0" collapsed="false">
      <c r="B58" s="21" t="s">
        <v>75</v>
      </c>
      <c r="C58" s="22" t="n">
        <v>1</v>
      </c>
      <c r="D58" s="23" t="s">
        <v>76</v>
      </c>
    </row>
    <row r="59" customFormat="false" ht="15" hidden="false" customHeight="false" outlineLevel="0" collapsed="false">
      <c r="B59" s="21" t="s">
        <v>77</v>
      </c>
      <c r="C59" s="22" t="n">
        <v>0</v>
      </c>
      <c r="D59" s="23" t="s">
        <v>78</v>
      </c>
    </row>
    <row r="60" customFormat="false" ht="15" hidden="false" customHeight="false" outlineLevel="0" collapsed="false">
      <c r="B60" s="21" t="s">
        <v>79</v>
      </c>
      <c r="C60" s="22" t="n">
        <v>100</v>
      </c>
      <c r="D60" s="23" t="s">
        <v>80</v>
      </c>
    </row>
    <row r="61" customFormat="false" ht="15" hidden="false" customHeight="false" outlineLevel="0" collapsed="false">
      <c r="B61" s="21" t="s">
        <v>81</v>
      </c>
      <c r="C61" s="22" t="n">
        <v>511</v>
      </c>
      <c r="D61" s="23" t="s">
        <v>82</v>
      </c>
    </row>
    <row r="62" customFormat="false" ht="15" hidden="false" customHeight="false" outlineLevel="0" collapsed="false">
      <c r="B62" s="21" t="s">
        <v>83</v>
      </c>
      <c r="C62" s="24" t="n">
        <f aca="false">C57*C58</f>
        <v>8</v>
      </c>
      <c r="D62" s="23"/>
    </row>
    <row r="63" customFormat="false" ht="15" hidden="false" customHeight="false" outlineLevel="0" collapsed="false">
      <c r="B63" s="25" t="s">
        <v>84</v>
      </c>
      <c r="C63" s="24" t="n">
        <f aca="false">C57*(4+C58*(64+C59))</f>
        <v>544</v>
      </c>
      <c r="D63" s="23" t="s">
        <v>85</v>
      </c>
    </row>
    <row r="64" customFormat="false" ht="15" hidden="false" customHeight="false" outlineLevel="0" collapsed="false">
      <c r="B64" s="21" t="s">
        <v>86</v>
      </c>
      <c r="C64" s="24" t="n">
        <f aca="false">MAX(60,18+C63)+4</f>
        <v>566</v>
      </c>
      <c r="D64" s="23" t="s">
        <v>87</v>
      </c>
    </row>
    <row r="65" customFormat="false" ht="15" hidden="false" customHeight="false" outlineLevel="0" collapsed="false">
      <c r="B65" s="21" t="s">
        <v>88</v>
      </c>
      <c r="C65" s="24" t="n">
        <f aca="false">C64+20</f>
        <v>586</v>
      </c>
      <c r="D65" s="26" t="s">
        <v>89</v>
      </c>
    </row>
    <row r="66" customFormat="false" ht="15" hidden="false" customHeight="false" outlineLevel="0" collapsed="false">
      <c r="B66" s="21" t="s">
        <v>90</v>
      </c>
      <c r="C66" s="27" t="n">
        <f aca="false">C60*1000/(C65*8)</f>
        <v>21.3310580204778</v>
      </c>
      <c r="D66" s="23"/>
    </row>
    <row r="67" customFormat="false" ht="15" hidden="false" customHeight="false" outlineLevel="0" collapsed="false">
      <c r="B67" s="21" t="s">
        <v>91</v>
      </c>
      <c r="C67" s="27" t="n">
        <f aca="false">C65*8/C60/C57</f>
        <v>5.86</v>
      </c>
      <c r="D67" s="23"/>
    </row>
    <row r="68" customFormat="false" ht="15" hidden="false" customHeight="false" outlineLevel="0" collapsed="false">
      <c r="B68" s="25" t="s">
        <v>92</v>
      </c>
      <c r="C68" s="27" t="n">
        <f aca="false">C61*C67/1000</f>
        <v>2.99446</v>
      </c>
      <c r="D68" s="23" t="s">
        <v>93</v>
      </c>
    </row>
  </sheetData>
  <mergeCells count="104">
    <mergeCell ref="C3:AI3"/>
    <mergeCell ref="C4:AI4"/>
    <mergeCell ref="C5:AI5"/>
    <mergeCell ref="B8:C8"/>
    <mergeCell ref="B9:C13"/>
    <mergeCell ref="D9:AI9"/>
    <mergeCell ref="D10:S10"/>
    <mergeCell ref="T10:AI10"/>
    <mergeCell ref="D11:AI11"/>
    <mergeCell ref="D12:S12"/>
    <mergeCell ref="T12:V12"/>
    <mergeCell ref="X12:AI12"/>
    <mergeCell ref="D13:S13"/>
    <mergeCell ref="T13:AI13"/>
    <mergeCell ref="B14:C14"/>
    <mergeCell ref="D14:G14"/>
    <mergeCell ref="H14:P14"/>
    <mergeCell ref="Q14:R14"/>
    <mergeCell ref="S14:AE14"/>
    <mergeCell ref="AG14:AH14"/>
    <mergeCell ref="B15:C18"/>
    <mergeCell ref="D15:AI15"/>
    <mergeCell ref="D16:AI16"/>
    <mergeCell ref="D17:AI17"/>
    <mergeCell ref="D18:AI18"/>
    <mergeCell ref="B19:C19"/>
    <mergeCell ref="D19:G19"/>
    <mergeCell ref="H19:P19"/>
    <mergeCell ref="Q19:R19"/>
    <mergeCell ref="S19:AE19"/>
    <mergeCell ref="AG19:AH19"/>
    <mergeCell ref="B20:C23"/>
    <mergeCell ref="D20:AI20"/>
    <mergeCell ref="D21:AI21"/>
    <mergeCell ref="D22:AI22"/>
    <mergeCell ref="D23:AI23"/>
    <mergeCell ref="B24:C24"/>
    <mergeCell ref="D24:G24"/>
    <mergeCell ref="H24:P24"/>
    <mergeCell ref="Q24:R24"/>
    <mergeCell ref="S24:AE24"/>
    <mergeCell ref="AG24:AH24"/>
    <mergeCell ref="B25:C28"/>
    <mergeCell ref="D25:AI25"/>
    <mergeCell ref="D26:AI26"/>
    <mergeCell ref="D27:AI27"/>
    <mergeCell ref="D28:AI28"/>
    <mergeCell ref="B29:C29"/>
    <mergeCell ref="D29:G29"/>
    <mergeCell ref="H29:P29"/>
    <mergeCell ref="Q29:R29"/>
    <mergeCell ref="S29:AE29"/>
    <mergeCell ref="AG29:AH29"/>
    <mergeCell ref="B30:C33"/>
    <mergeCell ref="D30:AI30"/>
    <mergeCell ref="D31:AI31"/>
    <mergeCell ref="D32:AI32"/>
    <mergeCell ref="D33:AI33"/>
    <mergeCell ref="B34:C34"/>
    <mergeCell ref="D34:G34"/>
    <mergeCell ref="H34:P34"/>
    <mergeCell ref="Q34:R34"/>
    <mergeCell ref="S34:AE34"/>
    <mergeCell ref="AG34:AH34"/>
    <mergeCell ref="B35:C38"/>
    <mergeCell ref="D35:AI35"/>
    <mergeCell ref="D36:AI36"/>
    <mergeCell ref="D37:AI37"/>
    <mergeCell ref="D38:AI38"/>
    <mergeCell ref="B39:C39"/>
    <mergeCell ref="D39:G39"/>
    <mergeCell ref="H39:P39"/>
    <mergeCell ref="Q39:R39"/>
    <mergeCell ref="S39:AE39"/>
    <mergeCell ref="AG39:AH39"/>
    <mergeCell ref="B40:C43"/>
    <mergeCell ref="D40:AI40"/>
    <mergeCell ref="D41:AI41"/>
    <mergeCell ref="D42:AI42"/>
    <mergeCell ref="D43:AI43"/>
    <mergeCell ref="B44:C44"/>
    <mergeCell ref="D44:G44"/>
    <mergeCell ref="H44:P44"/>
    <mergeCell ref="Q44:R44"/>
    <mergeCell ref="S44:AE44"/>
    <mergeCell ref="AG44:AH44"/>
    <mergeCell ref="B45:C48"/>
    <mergeCell ref="D45:AI45"/>
    <mergeCell ref="D46:AI46"/>
    <mergeCell ref="D47:AI47"/>
    <mergeCell ref="D48:AI48"/>
    <mergeCell ref="B49:C49"/>
    <mergeCell ref="D49:G49"/>
    <mergeCell ref="H49:P49"/>
    <mergeCell ref="Q49:R49"/>
    <mergeCell ref="S49:AE49"/>
    <mergeCell ref="AG49:AH49"/>
    <mergeCell ref="B50:C53"/>
    <mergeCell ref="D50:AI50"/>
    <mergeCell ref="D51:AI51"/>
    <mergeCell ref="D52:AI52"/>
    <mergeCell ref="D53:AI53"/>
    <mergeCell ref="B54:C54"/>
    <mergeCell ref="D54:A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8" t="s">
        <v>245</v>
      </c>
      <c r="B1" s="7" t="s">
        <v>246</v>
      </c>
      <c r="C1" s="7" t="s">
        <v>247</v>
      </c>
      <c r="D1" s="7" t="s">
        <v>248</v>
      </c>
      <c r="E1" s="7" t="s">
        <v>249</v>
      </c>
      <c r="F1" s="7" t="s">
        <v>250</v>
      </c>
    </row>
    <row r="2" customFormat="false" ht="15" hidden="false" customHeight="false" outlineLevel="0" collapsed="false">
      <c r="A2" s="21" t="n">
        <v>1</v>
      </c>
      <c r="B2" s="21" t="s">
        <v>251</v>
      </c>
      <c r="C2" s="25" t="s">
        <v>252</v>
      </c>
      <c r="D2" s="25" t="s">
        <v>253</v>
      </c>
      <c r="E2" s="31" t="s">
        <v>254</v>
      </c>
      <c r="F2" s="21"/>
    </row>
    <row r="3" customFormat="false" ht="15" hidden="false" customHeight="false" outlineLevel="0" collapsed="false">
      <c r="A3" s="21" t="n">
        <v>2</v>
      </c>
      <c r="B3" s="21" t="s">
        <v>255</v>
      </c>
      <c r="C3" s="25" t="s">
        <v>256</v>
      </c>
      <c r="D3" s="25" t="s">
        <v>257</v>
      </c>
      <c r="E3" s="31" t="s">
        <v>254</v>
      </c>
      <c r="F3" s="21" t="s">
        <v>258</v>
      </c>
    </row>
    <row r="4" customFormat="false" ht="29.85" hidden="false" customHeight="false" outlineLevel="0" collapsed="false">
      <c r="A4" s="21" t="n">
        <v>3</v>
      </c>
      <c r="B4" s="21" t="s">
        <v>259</v>
      </c>
      <c r="C4" s="25" t="s">
        <v>260</v>
      </c>
      <c r="D4" s="25" t="s">
        <v>261</v>
      </c>
      <c r="E4" s="31" t="s">
        <v>254</v>
      </c>
      <c r="F4" s="21" t="s">
        <v>262</v>
      </c>
    </row>
    <row r="5" customFormat="false" ht="15" hidden="false" customHeight="false" outlineLevel="0" collapsed="false">
      <c r="A5" s="21" t="n">
        <v>4</v>
      </c>
      <c r="B5" s="25" t="s">
        <v>263</v>
      </c>
      <c r="C5" s="25" t="s">
        <v>264</v>
      </c>
      <c r="D5" s="25" t="s">
        <v>265</v>
      </c>
      <c r="E5" s="31" t="s">
        <v>254</v>
      </c>
      <c r="F5" s="21"/>
    </row>
    <row r="6" customFormat="false" ht="15" hidden="false" customHeight="false" outlineLevel="0" collapsed="false">
      <c r="A6" s="21" t="n">
        <v>5</v>
      </c>
      <c r="B6" s="25" t="s">
        <v>263</v>
      </c>
      <c r="C6" s="25" t="s">
        <v>266</v>
      </c>
      <c r="D6" s="25" t="s">
        <v>267</v>
      </c>
      <c r="E6" s="31" t="s">
        <v>254</v>
      </c>
      <c r="F6" s="25" t="s">
        <v>268</v>
      </c>
    </row>
    <row r="7" customFormat="false" ht="15" hidden="false" customHeight="false" outlineLevel="0" collapsed="false">
      <c r="A7" s="21" t="n">
        <v>6</v>
      </c>
      <c r="B7" s="25" t="s">
        <v>263</v>
      </c>
      <c r="C7" s="25" t="s">
        <v>269</v>
      </c>
      <c r="D7" s="21" t="s">
        <v>270</v>
      </c>
      <c r="E7" s="32" t="s">
        <v>3</v>
      </c>
      <c r="F7" s="21" t="s">
        <v>271</v>
      </c>
    </row>
    <row r="8" customFormat="false" ht="15" hidden="false" customHeight="false" outlineLevel="0" collapsed="false">
      <c r="A8" s="21" t="n">
        <v>7</v>
      </c>
      <c r="B8" s="25" t="s">
        <v>272</v>
      </c>
      <c r="C8" s="25" t="s">
        <v>273</v>
      </c>
      <c r="D8" s="25" t="s">
        <v>274</v>
      </c>
      <c r="E8" s="31" t="s">
        <v>254</v>
      </c>
      <c r="F8" s="21" t="s">
        <v>275</v>
      </c>
    </row>
    <row r="9" customFormat="false" ht="15" hidden="false" customHeight="false" outlineLevel="0" collapsed="false">
      <c r="A9" s="21" t="n">
        <v>8</v>
      </c>
      <c r="B9" s="25" t="s">
        <v>276</v>
      </c>
      <c r="C9" s="25" t="s">
        <v>277</v>
      </c>
      <c r="D9" s="25" t="s">
        <v>278</v>
      </c>
      <c r="E9" s="31" t="s">
        <v>254</v>
      </c>
      <c r="F9" s="25" t="s">
        <v>279</v>
      </c>
    </row>
    <row r="10" customFormat="false" ht="15" hidden="false" customHeight="false" outlineLevel="0" collapsed="false">
      <c r="A10" s="21" t="n">
        <v>9</v>
      </c>
      <c r="B10" s="25" t="s">
        <v>280</v>
      </c>
      <c r="C10" s="25" t="s">
        <v>281</v>
      </c>
      <c r="D10" s="25" t="s">
        <v>282</v>
      </c>
      <c r="E10" s="31" t="s">
        <v>254</v>
      </c>
      <c r="F10" s="25" t="s">
        <v>283</v>
      </c>
    </row>
    <row r="11" customFormat="false" ht="15" hidden="false" customHeight="false" outlineLevel="0" collapsed="false">
      <c r="A11" s="21" t="n">
        <v>10</v>
      </c>
      <c r="B11" s="25" t="s">
        <v>284</v>
      </c>
      <c r="C11" s="25" t="s">
        <v>285</v>
      </c>
      <c r="D11" s="25" t="s">
        <v>286</v>
      </c>
      <c r="E11" s="31" t="s">
        <v>254</v>
      </c>
      <c r="F11" s="21" t="s">
        <v>287</v>
      </c>
    </row>
    <row r="12" customFormat="false" ht="15" hidden="false" customHeight="false" outlineLevel="0" collapsed="false">
      <c r="A12" s="21" t="n">
        <v>11</v>
      </c>
      <c r="B12" s="25" t="s">
        <v>284</v>
      </c>
      <c r="C12" s="25" t="s">
        <v>288</v>
      </c>
      <c r="D12" s="25" t="s">
        <v>289</v>
      </c>
      <c r="E12" s="32" t="s">
        <v>3</v>
      </c>
      <c r="F12" s="25" t="s">
        <v>290</v>
      </c>
    </row>
    <row r="13" customFormat="false" ht="15" hidden="false" customHeight="false" outlineLevel="0" collapsed="false">
      <c r="A13" s="21" t="n">
        <v>12</v>
      </c>
      <c r="B13" s="25" t="s">
        <v>284</v>
      </c>
      <c r="C13" s="25" t="s">
        <v>291</v>
      </c>
      <c r="D13" s="25" t="s">
        <v>292</v>
      </c>
      <c r="E13" s="31" t="s">
        <v>254</v>
      </c>
      <c r="F13" s="25" t="s">
        <v>293</v>
      </c>
    </row>
    <row r="14" customFormat="false" ht="29.85" hidden="false" customHeight="false" outlineLevel="0" collapsed="false">
      <c r="A14" s="21" t="n">
        <v>13</v>
      </c>
      <c r="B14" s="21" t="s">
        <v>294</v>
      </c>
      <c r="C14" s="21" t="s">
        <v>295</v>
      </c>
      <c r="D14" s="25" t="s">
        <v>296</v>
      </c>
      <c r="E14" s="31" t="s">
        <v>254</v>
      </c>
      <c r="F14" s="21" t="s">
        <v>297</v>
      </c>
    </row>
    <row r="15" customFormat="false" ht="29.85" hidden="false" customHeight="false" outlineLevel="0" collapsed="false">
      <c r="A15" s="21" t="n">
        <v>14</v>
      </c>
      <c r="B15" s="21" t="s">
        <v>298</v>
      </c>
      <c r="C15" s="21" t="s">
        <v>299</v>
      </c>
      <c r="D15" s="21" t="s">
        <v>300</v>
      </c>
      <c r="E15" s="31" t="s">
        <v>254</v>
      </c>
      <c r="F15" s="21"/>
    </row>
    <row r="16" customFormat="false" ht="15" hidden="false" customHeight="false" outlineLevel="0" collapsed="false">
      <c r="A16" s="21" t="n">
        <v>15</v>
      </c>
      <c r="B16" s="21" t="s">
        <v>298</v>
      </c>
      <c r="C16" s="21" t="s">
        <v>301</v>
      </c>
      <c r="D16" s="21" t="s">
        <v>302</v>
      </c>
      <c r="E16" s="32" t="s">
        <v>3</v>
      </c>
      <c r="F16" s="21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2026-09-24T03:14:11Z</dcterms:created>
  <dc:creator>openpyxl</dc:creator>
  <dc:description/>
  <dc:language>en-US</dc:language>
  <cp:lastModifiedBy/>
  <dcterms:modified xsi:type="dcterms:W3CDTF">2026-09-24T03:14:13Z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